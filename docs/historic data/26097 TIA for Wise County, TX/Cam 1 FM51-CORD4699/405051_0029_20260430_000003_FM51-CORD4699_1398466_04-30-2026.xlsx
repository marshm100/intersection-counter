
<file path=[Content_Types].xml><?xml version="1.0" encoding="utf-8"?>
<Types xmlns="http://schemas.openxmlformats.org/package/2006/content-types">
  <Default ContentType="application/vnd.openxmlformats-officedocument.spreadsheetml.printerSettings" Extension="bin"/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custom-properties+xml" PartName="/docProps/custom.xml"/>
  <Override ContentType="application/vnd.openxmlformats-package.core-properties+xml" PartName="/docProps/core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pivotTable+xml" PartName="/xl/pivotTables/pivotTable1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 defaultThemeVersion="124226"/>
  <bookViews>
    <workbookView xWindow="30660" yWindow="300" windowWidth="24615" windowHeight="12000" tabRatio="871" activeTab="0"/>
  </bookViews>
  <sheets>
    <sheet name="Contents" sheetId="49" r:id="rId10"/>
    <sheet name="(04_30_2026) Summary" sheetId="50" r:id="rId11"/>
    <sheet name="TMV Table" sheetId="52" r:id="rId13"/>
    <sheet name="TMV Data" sheetId="51" r:id="rId12"/>
  </sheets>
  <definedNames>
    <definedName name="_xlnm._FilterDatabase" localSheetId="3" hidden="1">'TMV Data'!$B$8:$F$8</definedName>
  </definedNames>
  <calcPr calcId="145621" fullCalcOnLoad="1"/>
  <pivotCaches>
    <pivotCache cacheId="1" r:id="rId14"/>
  </pivotCaches>
</workbook>
</file>

<file path=xl/sharedStrings.xml><?xml version="1.0" encoding="utf-8"?>
<sst xmlns="http://schemas.openxmlformats.org/spreadsheetml/2006/main" count="56" uniqueCount="56">
  <si>
    <t>Study Name</t>
  </si>
  <si>
    <t>405051_0029_20260430_000003 FM51-CORD4699</t>
  </si>
  <si>
    <t>Start Date</t>
  </si>
  <si>
    <t xml:space="preserve">Thursday, April 30, 2026  7:00 AM</t>
  </si>
  <si>
    <t>End Date</t>
  </si>
  <si>
    <t xml:space="preserve">Thursday, April 30, 2026  6:00 PM</t>
  </si>
  <si>
    <t>Site Code</t>
  </si>
  <si>
    <t>Overview</t>
  </si>
  <si>
    <t>This report contains turning movement volume (TMV) data of vehicular traffic in the intersection of study.</t>
  </si>
  <si>
    <t>Content</t>
  </si>
  <si>
    <t>Summary</t>
  </si>
  <si>
    <t>Contains a TMV summary of all vehicular traffic in the intersection for defined peak periods</t>
  </si>
  <si>
    <t>TMV Table</t>
  </si>
  <si>
    <t>Contains a pivot table of the TMV road and crosswalk data</t>
  </si>
  <si>
    <t>TMV Data</t>
  </si>
  <si>
    <t>Contains measured TMV data of all vehicular traffic in the intersection for each approach</t>
  </si>
  <si>
    <t>Traffic Study</t>
  </si>
  <si>
    <t>Classification Categories</t>
  </si>
  <si>
    <t>Lights, Mediums, Articulated Trucks</t>
  </si>
  <si>
    <t>04/30/2026 AM Peaks</t>
  </si>
  <si>
    <t>7:00 AM - 8:00 AM</t>
  </si>
  <si>
    <t>04/30/2026 PM Peaks</t>
  </si>
  <si>
    <t>4:00 PM - 5:00 PM</t>
  </si>
  <si>
    <t>Report Summary</t>
  </si>
  <si>
    <t/>
  </si>
  <si>
    <t>Southbound</t>
  </si>
  <si>
    <t>Westbound</t>
  </si>
  <si>
    <t>Northbound</t>
  </si>
  <si>
    <t>Time Period</t>
  </si>
  <si>
    <t>Class.</t>
  </si>
  <si>
    <t>L</t>
  </si>
  <si>
    <t>T</t>
  </si>
  <si>
    <t>U</t>
  </si>
  <si>
    <t>I</t>
  </si>
  <si>
    <t>O</t>
  </si>
  <si>
    <t>R</t>
  </si>
  <si>
    <t>Total</t>
  </si>
  <si>
    <t>Peak 1</t>
  </si>
  <si>
    <t>Lights</t>
  </si>
  <si>
    <t>Specified Period</t>
  </si>
  <si>
    <t>%</t>
  </si>
  <si>
    <t>7:00 AM - 9:00 AM</t>
  </si>
  <si>
    <t>Mediums</t>
  </si>
  <si>
    <t>One Hour Peak</t>
  </si>
  <si>
    <t>Articulated Trucks</t>
  </si>
  <si>
    <t>PHF</t>
  </si>
  <si>
    <t>Approach %</t>
  </si>
  <si>
    <t>Peak 2</t>
  </si>
  <si>
    <t>4:00 PM - 6:00 PM</t>
  </si>
  <si>
    <t>Turning Movement Volume Data</t>
  </si>
  <si>
    <t>Interval</t>
  </si>
  <si>
    <t>Approach</t>
  </si>
  <si>
    <t>Movement</t>
  </si>
  <si>
    <t>Class</t>
  </si>
  <si>
    <t>Volume</t>
  </si>
  <si>
    <t>Road Volumes</t>
  </si>
</sst>
</file>

<file path=xl/styles.xml><?xml version="1.0" encoding="utf-8"?>
<styleSheet xmlns="http://schemas.openxmlformats.org/spreadsheetml/2006/main">
  <numFmts count="4">
    <numFmt numFmtId="164" formatCode="[$-409]h:mm\ AM/PM;@"/>
    <numFmt numFmtId="165" formatCode="h:mm:ss;@"/>
    <numFmt numFmtId="166" formatCode="h:mm;@"/>
    <numFmt numFmtId="167" formatCode="[$-409]dddd\,\ mmmm\ dd\,\ yyyy\ \-\ hh:mm:ss"/>
  </numFmts>
  <fonts count="30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Arial"/>
      <family val="2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u/>
      <sz val="11"/>
      <color rgb="FF5884A9"/>
      <name val="Calibri"/>
      <family val="2"/>
      <scheme val="minor"/>
    </font>
    <font>
      <sz val="8"/>
      <color rgb="FF5884A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5884A9"/>
        <bgColor indexed="64"/>
      </patternFill>
    </fill>
    <fill>
      <patternFill patternType="solid">
        <fgColor rgb="FF222623"/>
        <bgColor indexed="64"/>
      </patternFill>
    </fill>
    <fill>
      <patternFill patternType="solid">
        <fgColor rgb="FF585858"/>
        <bgColor indexed="64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rgb="FF5884A9" tint="0"/>
      </left>
      <right/>
      <top/>
      <bottom/>
      <diagonal/>
    </border>
    <border>
      <left/>
      <right style="thin">
        <color rgb="FF5884A9" tint="0"/>
      </right>
      <top/>
      <bottom/>
      <diagonal/>
    </border>
  </borders>
  <cellStyleXfs count="61">
    <xf numFmtId="0" fontId="0" fillId="0" borderId="0"/>
    <xf numFmtId="0" fontId="2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  <xf numFmtId="0" fontId="2" fillId="9" borderId="0"/>
    <xf numFmtId="0" fontId="2" fillId="10" borderId="0"/>
    <xf numFmtId="0" fontId="2" fillId="11" borderId="0"/>
    <xf numFmtId="0" fontId="2" fillId="12" borderId="0"/>
    <xf numFmtId="0" fontId="2" fillId="13" borderId="0"/>
    <xf numFmtId="0" fontId="3" fillId="14" borderId="0"/>
    <xf numFmtId="0" fontId="3" fillId="15" borderId="0"/>
    <xf numFmtId="0" fontId="3" fillId="16" borderId="0"/>
    <xf numFmtId="0" fontId="3" fillId="17" borderId="0"/>
    <xf numFmtId="0" fontId="3" fillId="18" borderId="0"/>
    <xf numFmtId="0" fontId="3" fillId="19" borderId="0"/>
    <xf numFmtId="0" fontId="3" fillId="20" borderId="0"/>
    <xf numFmtId="0" fontId="3" fillId="21" borderId="0"/>
    <xf numFmtId="0" fontId="3" fillId="22" borderId="0"/>
    <xf numFmtId="0" fontId="3" fillId="23" borderId="0"/>
    <xf numFmtId="0" fontId="3" fillId="24" borderId="0"/>
    <xf numFmtId="0" fontId="3" fillId="25" borderId="0"/>
    <xf numFmtId="0" fontId="4" fillId="26" borderId="0"/>
    <xf numFmtId="0" fontId="5" fillId="27" borderId="1"/>
    <xf numFmtId="0" fontId="6" fillId="28" borderId="2"/>
    <xf numFmtId="0" fontId="23" fillId="34" borderId="0">
      <alignment horizontal="left" indent="2"/>
    </xf>
    <xf numFmtId="0" fontId="2" fillId="0" borderId="0">
      <alignment vertical="top" wrapText="1"/>
    </xf>
    <xf numFmtId="0" fontId="24" fillId="0" borderId="0">
      <alignment vertical="top" wrapText="1"/>
    </xf>
    <xf numFmtId="0" fontId="19" fillId="0" borderId="0">
      <alignment horizontal="left" indent="1"/>
    </xf>
    <xf numFmtId="0" fontId="21" fillId="0" borderId="0">
      <alignment horizontal="left"/>
    </xf>
    <xf numFmtId="0" fontId="21" fillId="33" borderId="0">
      <alignment horizontal="center"/>
    </xf>
    <xf numFmtId="0" fontId="6" fillId="36" borderId="0">
      <alignment horizontal="left"/>
    </xf>
    <xf numFmtId="0" fontId="6" fillId="34" borderId="0">
      <alignment horizontal="left"/>
    </xf>
    <xf numFmtId="0" fontId="7" fillId="0" borderId="0"/>
    <xf numFmtId="0" fontId="8" fillId="29" borderId="0"/>
    <xf numFmtId="0" fontId="9" fillId="0" borderId="3"/>
    <xf numFmtId="0" fontId="10" fillId="0" borderId="4"/>
    <xf numFmtId="0" fontId="11" fillId="0" borderId="5"/>
    <xf numFmtId="0" fontId="11" fillId="0" borderId="0"/>
    <xf numFmtId="0" fontId="12" fillId="30" borderId="1"/>
    <xf numFmtId="0" fontId="13" fillId="0" borderId="6"/>
    <xf numFmtId="0" fontId="14" fillId="31" borderId="0"/>
    <xf numFmtId="0" fontId="1" fillId="0" borderId="0"/>
    <xf numFmtId="0" fontId="2" fillId="32" borderId="7"/>
    <xf numFmtId="0" fontId="15" fillId="27" borderId="8"/>
    <xf numFmtId="9" fontId="2" fillId="0" borderId="0"/>
    <xf numFmtId="0" fontId="20" fillId="35" borderId="0">
      <alignment horizontal="left"/>
    </xf>
    <xf numFmtId="0" fontId="22" fillId="35" borderId="0">
      <alignment horizontal="right" indent="1"/>
    </xf>
    <xf numFmtId="0" fontId="26" fillId="33" borderId="0">
      <alignment horizontal="center"/>
    </xf>
    <xf numFmtId="0" fontId="27" fillId="33" borderId="0">
      <alignment horizontal="center"/>
    </xf>
    <xf numFmtId="0" fontId="28" fillId="33" borderId="0">
      <alignment horizontal="center"/>
    </xf>
    <xf numFmtId="0" fontId="26" fillId="33" borderId="0">
      <alignment horizontal="center"/>
    </xf>
    <xf numFmtId="0" fontId="25" fillId="33" borderId="0">
      <alignment horizontal="center"/>
    </xf>
    <xf numFmtId="0" fontId="26" fillId="33" borderId="10">
      <alignment horizontal="center"/>
    </xf>
    <xf numFmtId="0" fontId="26" fillId="0" borderId="10">
      <alignment horizontal="center"/>
    </xf>
    <xf numFmtId="0" fontId="16" fillId="0" borderId="0"/>
    <xf numFmtId="0" fontId="17" fillId="0" borderId="9"/>
    <xf numFmtId="0" fontId="18" fillId="0" borderId="0"/>
  </cellStyleXfs>
  <cellXfs count="74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1" applyProtection="1"/>
    <xf numFmtId="0" applyNumberFormat="1" fontId="2" applyFont="1" fillId="3" applyFill="1" borderId="0" applyBorder="1" xfId="2" applyProtection="1"/>
    <xf numFmtId="0" applyNumberFormat="1" fontId="2" applyFont="1" fillId="4" applyFill="1" borderId="0" applyBorder="1" xfId="3" applyProtection="1"/>
    <xf numFmtId="0" applyNumberFormat="1" fontId="2" applyFont="1" fillId="5" applyFill="1" borderId="0" applyBorder="1" xfId="4" applyProtection="1"/>
    <xf numFmtId="0" applyNumberFormat="1" fontId="2" applyFont="1" fillId="6" applyFill="1" borderId="0" applyBorder="1" xfId="5" applyProtection="1"/>
    <xf numFmtId="0" applyNumberFormat="1" fontId="2" applyFont="1" fillId="7" applyFill="1" borderId="0" applyBorder="1" xfId="6" applyProtection="1"/>
    <xf numFmtId="0" applyNumberFormat="1" fontId="2" applyFont="1" fillId="8" applyFill="1" borderId="0" applyBorder="1" xfId="7" applyProtection="1"/>
    <xf numFmtId="0" applyNumberFormat="1" fontId="2" applyFont="1" fillId="9" applyFill="1" borderId="0" applyBorder="1" xfId="8" applyProtection="1"/>
    <xf numFmtId="0" applyNumberFormat="1" fontId="2" applyFont="1" fillId="10" applyFill="1" borderId="0" applyBorder="1" xfId="9" applyProtection="1"/>
    <xf numFmtId="0" applyNumberFormat="1" fontId="2" applyFont="1" fillId="11" applyFill="1" borderId="0" applyBorder="1" xfId="10" applyProtection="1"/>
    <xf numFmtId="0" applyNumberFormat="1" fontId="2" applyFont="1" fillId="12" applyFill="1" borderId="0" applyBorder="1" xfId="11" applyProtection="1"/>
    <xf numFmtId="0" applyNumberFormat="1" fontId="2" applyFont="1" fillId="13" applyFill="1" borderId="0" applyBorder="1" xfId="12" applyProtection="1"/>
    <xf numFmtId="0" applyNumberFormat="1" fontId="3" applyFont="1" fillId="14" applyFill="1" borderId="0" applyBorder="1" xfId="13" applyProtection="1"/>
    <xf numFmtId="0" applyNumberFormat="1" fontId="3" applyFont="1" fillId="15" applyFill="1" borderId="0" applyBorder="1" xfId="14" applyProtection="1"/>
    <xf numFmtId="0" applyNumberFormat="1" fontId="3" applyFont="1" fillId="16" applyFill="1" borderId="0" applyBorder="1" xfId="15" applyProtection="1"/>
    <xf numFmtId="0" applyNumberFormat="1" fontId="3" applyFont="1" fillId="17" applyFill="1" borderId="0" applyBorder="1" xfId="16" applyProtection="1"/>
    <xf numFmtId="0" applyNumberFormat="1" fontId="3" applyFont="1" fillId="18" applyFill="1" borderId="0" applyBorder="1" xfId="17" applyProtection="1"/>
    <xf numFmtId="0" applyNumberFormat="1" fontId="3" applyFont="1" fillId="19" applyFill="1" borderId="0" applyBorder="1" xfId="18" applyProtection="1"/>
    <xf numFmtId="0" applyNumberFormat="1" fontId="3" applyFont="1" fillId="20" applyFill="1" borderId="0" applyBorder="1" xfId="19" applyProtection="1"/>
    <xf numFmtId="0" applyNumberFormat="1" fontId="3" applyFont="1" fillId="21" applyFill="1" borderId="0" applyBorder="1" xfId="20" applyProtection="1"/>
    <xf numFmtId="0" applyNumberFormat="1" fontId="3" applyFont="1" fillId="22" applyFill="1" borderId="0" applyBorder="1" xfId="21" applyProtection="1"/>
    <xf numFmtId="0" applyNumberFormat="1" fontId="3" applyFont="1" fillId="23" applyFill="1" borderId="0" applyBorder="1" xfId="22" applyProtection="1"/>
    <xf numFmtId="0" applyNumberFormat="1" fontId="3" applyFont="1" fillId="24" applyFill="1" borderId="0" applyBorder="1" xfId="23" applyProtection="1"/>
    <xf numFmtId="0" applyNumberFormat="1" fontId="3" applyFont="1" fillId="25" applyFill="1" borderId="0" applyBorder="1" xfId="24" applyProtection="1"/>
    <xf numFmtId="0" applyNumberFormat="1" fontId="4" applyFont="1" fillId="26" applyFill="1" borderId="0" applyBorder="1" xfId="25" applyProtection="1"/>
    <xf numFmtId="0" applyNumberFormat="1" fontId="5" applyFont="1" fillId="27" applyFill="1" borderId="1" applyBorder="1" xfId="26" applyProtection="1"/>
    <xf numFmtId="0" applyNumberFormat="1" fontId="6" applyFont="1" fillId="28" applyFill="1" borderId="2" applyBorder="1" xfId="27" applyProtection="1"/>
    <xf numFmtId="0" applyNumberFormat="1" fontId="23" applyFont="1" fillId="34" applyFill="1" borderId="0" applyBorder="1" xfId="28" applyProtection="1" applyAlignment="1">
      <alignment horizontal="left" indent="2"/>
    </xf>
    <xf numFmtId="0" applyNumberFormat="1" fontId="2" applyFont="1" fillId="0" applyFill="1" borderId="0" applyBorder="1" xfId="29" applyProtection="1" applyAlignment="1">
      <alignment vertical="top" wrapText="1"/>
    </xf>
    <xf numFmtId="0" applyNumberFormat="1" fontId="24" applyFont="1" fillId="0" applyFill="1" borderId="0" applyBorder="1" xfId="30" applyProtection="1" applyAlignment="1">
      <alignment vertical="top" wrapText="1"/>
    </xf>
    <xf numFmtId="0" applyNumberFormat="1" fontId="19" applyFont="1" fillId="0" applyFill="1" borderId="0" applyBorder="1" xfId="31" applyProtection="1" applyAlignment="1">
      <alignment horizontal="left" indent="1"/>
    </xf>
    <xf numFmtId="0" applyNumberFormat="1" fontId="21" applyFont="1" fillId="0" applyFill="1" borderId="0" applyBorder="1" xfId="32" applyProtection="1" applyAlignment="1">
      <alignment horizontal="left"/>
    </xf>
    <xf numFmtId="0" applyNumberFormat="1" fontId="21" applyFont="1" fillId="33" applyFill="1" borderId="0" applyBorder="1" xfId="33" applyProtection="1" applyAlignment="1">
      <alignment horizontal="center"/>
    </xf>
    <xf numFmtId="0" applyNumberFormat="1" fontId="6" applyFont="1" fillId="36" applyFill="1" borderId="0" applyBorder="1" xfId="34" applyProtection="1" applyAlignment="1">
      <alignment horizontal="left"/>
    </xf>
    <xf numFmtId="0" applyNumberFormat="1" fontId="6" applyFont="1" fillId="34" applyFill="1" borderId="0" applyBorder="1" xfId="35" applyProtection="1" applyAlignment="1">
      <alignment horizontal="left"/>
    </xf>
    <xf numFmtId="0" applyNumberFormat="1" fontId="7" applyFont="1" fillId="0" applyFill="1" borderId="0" applyBorder="1" xfId="36" applyProtection="1"/>
    <xf numFmtId="0" applyNumberFormat="1" fontId="8" applyFont="1" fillId="29" applyFill="1" borderId="0" applyBorder="1" xfId="37" applyProtection="1"/>
    <xf numFmtId="0" applyNumberFormat="1" fontId="9" applyFont="1" fillId="0" applyFill="1" borderId="3" applyBorder="1" xfId="38" applyProtection="1"/>
    <xf numFmtId="0" applyNumberFormat="1" fontId="10" applyFont="1" fillId="0" applyFill="1" borderId="4" applyBorder="1" xfId="39" applyProtection="1"/>
    <xf numFmtId="0" applyNumberFormat="1" fontId="11" applyFont="1" fillId="0" applyFill="1" borderId="5" applyBorder="1" xfId="40" applyProtection="1"/>
    <xf numFmtId="0" applyNumberFormat="1" fontId="11" applyFont="1" fillId="0" applyFill="1" borderId="0" applyBorder="1" xfId="41" applyProtection="1"/>
    <xf numFmtId="0" applyNumberFormat="1" fontId="12" applyFont="1" fillId="30" applyFill="1" borderId="1" applyBorder="1" xfId="42" applyProtection="1"/>
    <xf numFmtId="0" applyNumberFormat="1" fontId="13" applyFont="1" fillId="0" applyFill="1" borderId="6" applyBorder="1" xfId="43" applyProtection="1"/>
    <xf numFmtId="0" applyNumberFormat="1" fontId="14" applyFont="1" fillId="31" applyFill="1" borderId="0" applyBorder="1" xfId="44" applyProtection="1"/>
    <xf numFmtId="0" applyNumberFormat="1" fontId="1" applyFont="1" fillId="0" applyFill="1" borderId="0" applyBorder="1" xfId="45" applyProtection="1"/>
    <xf numFmtId="0" applyNumberFormat="1" fontId="2" applyFont="1" fillId="32" applyFill="1" borderId="7" applyBorder="1" xfId="46" applyProtection="1"/>
    <xf numFmtId="0" applyNumberFormat="1" fontId="15" applyFont="1" fillId="27" applyFill="1" borderId="8" applyBorder="1" xfId="47" applyProtection="1"/>
    <xf numFmtId="9" applyNumberFormat="1" fontId="2" applyFont="1" fillId="0" applyFill="1" borderId="0" applyBorder="1" xfId="48" applyProtection="1"/>
    <xf numFmtId="0" applyNumberFormat="1" fontId="20" applyFont="1" fillId="35" applyFill="1" borderId="0" applyBorder="1" xfId="49" applyProtection="1" applyAlignment="1">
      <alignment horizontal="left"/>
    </xf>
    <xf numFmtId="0" applyNumberFormat="1" fontId="22" applyFont="1" fillId="35" applyFill="1" borderId="0" applyBorder="1" xfId="50" applyProtection="1" applyAlignment="1">
      <alignment horizontal="right" indent="1"/>
    </xf>
    <xf numFmtId="0" applyNumberFormat="1" fontId="26" applyFont="1" fillId="33" applyFill="1" borderId="0" applyBorder="1" xfId="51" applyProtection="1" applyAlignment="1">
      <alignment horizontal="center"/>
    </xf>
    <xf numFmtId="0" applyNumberFormat="1" fontId="27" applyFont="1" fillId="33" applyFill="1" borderId="0" applyBorder="1" xfId="52" applyProtection="1" applyAlignment="1">
      <alignment horizontal="center"/>
    </xf>
    <xf numFmtId="0" applyNumberFormat="1" fontId="28" applyFont="1" fillId="33" applyFill="1" borderId="0" applyBorder="1" xfId="53" applyProtection="1" applyAlignment="1">
      <alignment horizontal="center"/>
    </xf>
    <xf numFmtId="0" applyNumberFormat="1" fontId="26" applyFont="1" fillId="33" applyFill="1" borderId="0" applyBorder="1" xfId="54" applyProtection="1" applyAlignment="1">
      <alignment horizontal="center"/>
    </xf>
    <xf numFmtId="0" applyNumberFormat="1" fontId="25" applyFont="1" fillId="33" applyFill="1" borderId="0" applyBorder="1" xfId="55" applyProtection="1" applyAlignment="1">
      <alignment horizontal="center"/>
    </xf>
    <xf numFmtId="0" applyNumberFormat="1" fontId="26" applyFont="1" fillId="33" applyFill="1" borderId="10" applyBorder="1" xfId="56" applyProtection="1" applyAlignment="1">
      <alignment horizontal="center"/>
    </xf>
    <xf numFmtId="0" applyNumberFormat="1" fontId="26" applyFont="1" fillId="0" applyFill="1" borderId="10" applyBorder="1" xfId="57" applyProtection="1" applyAlignment="1">
      <alignment horizontal="center"/>
    </xf>
    <xf numFmtId="0" applyNumberFormat="1" fontId="16" applyFont="1" fillId="0" applyFill="1" borderId="0" applyBorder="1" xfId="58" applyProtection="1"/>
    <xf numFmtId="0" applyNumberFormat="1" fontId="17" applyFont="1" fillId="0" applyFill="1" borderId="9" applyBorder="1" xfId="59" applyProtection="1"/>
    <xf numFmtId="0" applyNumberFormat="1" fontId="18" applyFont="1" fillId="0" applyFill="1" borderId="0" applyBorder="1" xfId="60" applyProtection="1"/>
    <xf numFmtId="0" applyNumberFormat="1" fontId="6" applyFont="1" fillId="34" applyFill="1" borderId="0" applyBorder="1" xfId="35" applyProtection="1" applyAlignment="1">
      <alignment horizontal="center"/>
    </xf>
    <xf numFmtId="0" applyNumberFormat="1" fontId="19" applyFont="1" fillId="0" applyFill="1" borderId="0" applyBorder="1" xfId="31" applyProtection="1" applyAlignment="1">
      <alignment horizontal="right" indent="1"/>
    </xf>
    <xf numFmtId="0" applyNumberFormat="1" fontId="21" applyFont="1" fillId="0" applyFill="1" borderId="0" applyBorder="1" xfId="32" applyProtection="1" applyAlignment="1">
      <alignment horizontal="center"/>
    </xf>
    <xf numFmtId="0" applyNumberFormat="1" fontId="6" applyFont="1" fillId="36" applyFill="1" borderId="0" applyBorder="1" xfId="34" applyProtection="1" applyAlignment="1">
      <alignment horizontal="center"/>
    </xf>
    <xf numFmtId="9" applyNumberFormat="1" fontId="25" applyFont="1" fillId="33" applyFill="1" borderId="0" applyBorder="1" xfId="55" applyProtection="1" applyAlignment="1">
      <alignment horizontal="center"/>
    </xf>
    <xf numFmtId="0" applyNumberFormat="1" fontId="26" applyFont="1" fillId="33" applyFill="1" borderId="11" applyBorder="1" xfId="54" applyProtection="1" applyAlignment="1">
      <alignment horizontal="center"/>
    </xf>
    <xf numFmtId="9" applyNumberFormat="1" fontId="25" applyFont="1" fillId="33" applyFill="1" borderId="11" applyBorder="1" xfId="55" applyProtection="1" applyAlignment="1">
      <alignment horizontal="center"/>
    </xf>
    <xf numFmtId="0" applyNumberFormat="1" fontId="26" applyFont="1" fillId="33" applyFill="1" borderId="12" applyBorder="1" xfId="54" applyProtection="1" applyAlignment="1">
      <alignment horizontal="center"/>
    </xf>
    <xf numFmtId="9" applyNumberFormat="1" fontId="25" applyFont="1" fillId="33" applyFill="1" borderId="12" applyBorder="1" xfId="55" applyProtection="1" applyAlignment="1">
      <alignment horizontal="center"/>
    </xf>
    <xf numFmtId="0" applyNumberFormat="1" fontId="28" applyFont="1" fillId="33" applyFill="1" borderId="11" applyBorder="1" xfId="53" applyProtection="1" applyAlignment="1">
      <alignment horizontal="center"/>
    </xf>
    <xf numFmtId="0" applyNumberFormat="1" fontId="28" applyFont="1" fillId="33" applyFill="1" borderId="12" applyBorder="1" xfId="53" applyProtection="1" applyAlignment="1">
      <alignment horizontal="center"/>
    </xf>
    <xf numFmtId="18" applyNumberFormat="1" fontId="21" applyFont="1" fillId="0" applyFill="1" borderId="0" applyBorder="1" xfId="32" applyProtection="1" applyAlignment="1">
      <alignment horizontal="center"/>
    </xf>
    <xf numFmtId="0" applyNumberFormat="1" fontId="29" applyFont="1" fillId="0" applyFill="1" borderId="0" applyBorder="1" xfId="32" applyProtection="1" applyAlignment="1">
      <alignment horizontal="left"/>
    </xf>
  </cellXfs>
  <cellStyles count="6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ntent Header" xfId="28"/>
    <cellStyle name="Content Text" xfId="29"/>
    <cellStyle name="Content Text URL" xfId="30"/>
    <cellStyle name="Content Title" xfId="31"/>
    <cellStyle name="Data Table Content" xfId="32"/>
    <cellStyle name="Data Table Content B" xfId="33"/>
    <cellStyle name="Data Table Header" xfId="34"/>
    <cellStyle name="Data Table Sub-Header" xfId="35"/>
    <cellStyle name="Explanatory Text" xfId="36" builtinId="53" customBuiltin="1"/>
    <cellStyle name="Good" xfId="37" builtinId="26" customBuiltin="1"/>
    <cellStyle name="Heading 1" xfId="38" builtinId="16" customBuiltin="1"/>
    <cellStyle name="Heading 2" xfId="39" builtinId="17" customBuiltin="1"/>
    <cellStyle name="Heading 3" xfId="40" builtinId="18" customBuiltin="1"/>
    <cellStyle name="Heading 4" xfId="41" builtinId="19" customBuiltin="1"/>
    <cellStyle name="Input" xfId="42" builtinId="20" customBuiltin="1"/>
    <cellStyle name="Linked Cell" xfId="43" builtinId="24" customBuiltin="1"/>
    <cellStyle name="Neutral" xfId="44" builtinId="28" customBuiltin="1"/>
    <cellStyle name="Normal" xfId="0" builtinId="0"/>
    <cellStyle name="Normal 2" xfId="45"/>
    <cellStyle name="Note" xfId="46" builtinId="10" customBuiltin="1"/>
    <cellStyle name="Output" xfId="47" builtinId="21" customBuiltin="1"/>
    <cellStyle name="Percent" xfId="48" builtinId="5"/>
    <cellStyle name="Report Header Content" xfId="49"/>
    <cellStyle name="Report Header Titles" xfId="50"/>
    <cellStyle name="Summary Table Column Headings" xfId="51"/>
    <cellStyle name="Summary Table Column Headings B" xfId="52"/>
    <cellStyle name="Summary Table Content Subtotal" xfId="53"/>
    <cellStyle name="Summary Table ContentA" xfId="54"/>
    <cellStyle name="Summary Table ContentB" xfId="55"/>
    <cellStyle name="Summary Table ContentC" xfId="56"/>
    <cellStyle name="Summary Table ContentD" xfId="57"/>
    <cellStyle name="Title" xfId="58" builtinId="15" customBuiltin="1"/>
    <cellStyle name="Total" xfId="59" builtinId="25" customBuiltin="1"/>
    <cellStyle name="Warning Text" xfId="60" builtinId="11" customBuiltin="1"/>
  </cellStyles>
  <dxfs count="6">
    <dxf>
      <border>
        <top style="thin">
          <color rgb="FF585858"/>
        </top>
      </border>
    </dxf>
    <dxf>
      <border>
        <bottom style="thin">
          <color theme="4" tint="0.39991454817346722"/>
        </bottom>
      </border>
    </dxf>
    <dxf>
      <font>
        <b val="0"/>
        <i val="0"/>
      </font>
      <border>
        <left style="thin">
          <color rgb="FF585858"/>
        </left>
        <right style="medium">
          <color rgb="FF585858"/>
        </right>
      </border>
    </dxf>
    <dxf>
      <border>
        <top style="medium">
          <color rgb="FF585858"/>
        </top>
      </border>
    </dxf>
    <dxf>
      <font>
        <b/>
        <i val="0"/>
        <color theme="0"/>
      </font>
      <fill>
        <patternFill>
          <bgColor rgb="FF585858"/>
        </patternFill>
      </fill>
    </dxf>
    <dxf>
      <fill>
        <patternFill>
          <bgColor theme="4" tint="0.79998168889431442"/>
        </patternFill>
      </fill>
    </dxf>
    <dxf>
      <alignment horizontal="center" readingOrder="0"/>
    </dxf>
  </dxfs>
  <tableStyles count="1" defaultTableStyle="TableStyleMedium9" defaultPivotStyle="PivotStyleLight16">
    <tableStyle name="Miovision PivotTable" table="0" count="6">
      <tableStyleElement type="wholeTable" dxfId="5"/>
      <tableStyleElement type="headerRow" dxfId="4"/>
      <tableStyleElement type="totalRow" dxfId="3"/>
      <tableStyleElement type="firstSubtotalColumn" dxfId="2"/>
      <tableStyleElement type="firstSubtotalRow" dxfId="1"/>
      <tableStyleElement type="firstRowSubheading" dxfId="0"/>
    </tableStyle>
  </tableStyles>
  <colors>
    <mruColors>
      <color rgb="FF585858"/>
      <color rgb="FF5884A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0" Type="http://schemas.openxmlformats.org/officeDocument/2006/relationships/worksheet" Target="worksheets/sheet49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15" Type="http://schemas.openxmlformats.org/officeDocument/2006/relationships/sharedStrings" Target="sharedStrings.xml"/><Relationship Id="rId11" Type="http://schemas.openxmlformats.org/officeDocument/2006/relationships/worksheet" Target="worksheets/sheet50.xml"/><Relationship Id="rId12" Type="http://schemas.openxmlformats.org/officeDocument/2006/relationships/worksheet" Target="worksheets/sheet51.xml"/><Relationship Id="rId13" Type="http://schemas.openxmlformats.org/officeDocument/2006/relationships/worksheet" Target="worksheets/sheet52.xml"/><Relationship Id="rId14" Type="http://schemas.openxmlformats.org/officeDocument/2006/relationships/pivotCacheDefinition" Target="/xl/pivotCache/pivotCacheDefinition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/xl/pivotCache/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SomeUser" refreshedDate="40504.582403125001" createdVersion="1" refreshedVersion="3" recordCount="5" upgradeOnRefresh="1">
  <cacheSource type="worksheet">
    <worksheetSource ref="B8:F440" sheet="TMV Data"/>
  </cacheSource>
  <cacheFields count="5">
    <cacheField name="Interval" numFmtId="0">
      <sharedItems containsBlank="1"/>
    </cacheField>
    <cacheField name="Approach" numFmtId="0">
      <sharedItems containsBlank="1"/>
    </cacheField>
    <cacheField name="Movement" numFmtId="0">
      <sharedItems containsBlank="1"/>
    </cacheField>
    <cacheField name="Class" numFmtId="0">
      <sharedItems containsBlank="1"/>
    </cacheField>
    <cacheField name="Volume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/xl/pivotCache/pivotCacheDefinition1.xml"/></Relationships>
</file>

<file path=xl/pivotTables/pivotTable1.xml><?xml version="1.0" encoding="utf-8"?>
<pivotTableDefinition xmlns="http://schemas.openxmlformats.org/spreadsheetml/2006/main" name="RoadTmvTable" cacheId="1" dataOnRows="1" applyNumberFormats="0" applyBorderFormats="0" applyFontFormats="0" applyPatternFormats="0" applyAlignmentFormats="0" applyWidthHeightFormats="1" dataCaption="Data" createdVersion="4" showMemberPropertyTips="0" useAutoFormatting="0" itemPrintTitles="1" indent="0" compact="0" compactData="0" gridDropZones="1" outline="1" outlineData="1" rowHeaderCaption="Interval" colHeaderCaption="Movement">
  <location ref="B8" firstHeaderRow="1" firstDataRow="1" firstDataCol="1"/>
  <pivotFields count="5">
    <pivotField showAll="0" axis="axisRow" numFmtId="0">
      <items count="1">
        <item t="default"/>
      </items>
    </pivotField>
    <pivotField showAll="0" axis="axisCol">
      <items count="1">
        <item t="default"/>
      </items>
    </pivotField>
    <pivotField showAll="0" axis="axisCol">
      <items count="1">
        <item t="default"/>
      </items>
    </pivotField>
    <pivotField showAll="0" axis="axisRow">
      <items count="1">
        <item t="default"/>
      </items>
    </pivotField>
    <pivotField showAll="0" dataField="1"/>
  </pivotFields>
  <rowFields>
    <field x="0"/>
    <field x="3"/>
  </rowFields>
  <colFields>
    <field x="1"/>
    <field x="2"/>
  </colFields>
  <dataFields>
    <dataField fld="4" name="TMV"/>
  </dataFields>
  <formats count="1">
    <format dxfId="6">
      <pivotArea type="all" dataOnly="0" outline="0" fieldPosition="0"/>
    </format>
  </formats>
  <pivotTableStyleInfo name="Miovision PivotTable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ivotTable" Target="/xl/pivotTables/pivotTable1.xml"/></Relationships>
</file>

<file path=xl/worksheets/sheet49.xml><?xml version="1.0" encoding="utf-8"?>
<worksheet xmlns:r="http://schemas.openxmlformats.org/officeDocument/2006/relationships" xmlns="http://schemas.openxmlformats.org/spreadsheetml/2006/main">
  <dimension ref="A1:G21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10" customWidth="1"/>
    <col min="2" max="2" width="15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</cols>
  <sheetData>
    <row r="1" s="49" customFormat="1">
      <c r="B1" s="50" t="s">
        <v>0</v>
      </c>
      <c r="C1" s="49" t="s">
        <v>1</v>
      </c>
      <c r="D1" s="49" t="s">
        <v>1</v>
      </c>
      <c r="E1" s="49" t="s">
        <v>1</v>
      </c>
      <c r="F1" s="49" t="s">
        <v>1</v>
      </c>
      <c r="G1" s="49" t="s">
        <v>1</v>
      </c>
    </row>
    <row r="2" s="49" customFormat="1">
      <c r="B2" s="50" t="s">
        <v>2</v>
      </c>
      <c r="C2" s="49" t="s">
        <v>3</v>
      </c>
      <c r="D2" s="49" t="s">
        <v>3</v>
      </c>
      <c r="E2" s="49" t="s">
        <v>3</v>
      </c>
      <c r="F2" s="49" t="s">
        <v>3</v>
      </c>
      <c r="G2" s="49" t="s">
        <v>3</v>
      </c>
    </row>
    <row r="3" s="49" customFormat="1">
      <c r="B3" s="50" t="s">
        <v>4</v>
      </c>
      <c r="C3" s="49" t="s">
        <v>5</v>
      </c>
      <c r="D3" s="49" t="s">
        <v>5</v>
      </c>
      <c r="E3" s="49" t="s">
        <v>5</v>
      </c>
      <c r="F3" s="49" t="s">
        <v>5</v>
      </c>
      <c r="G3" s="49" t="s">
        <v>5</v>
      </c>
    </row>
    <row r="4" s="49" customFormat="1">
      <c r="B4" s="50" t="s">
        <v>6</v>
      </c>
      <c r="C4" s="49"/>
      <c r="D4" s="49"/>
      <c r="E4" s="49"/>
      <c r="F4" s="49"/>
      <c r="G4" s="49"/>
    </row>
    <row r="7">
      <c r="B7" s="28" t="s">
        <v>7</v>
      </c>
      <c r="C7" s="28" t="s">
        <v>7</v>
      </c>
      <c r="D7" s="28" t="s">
        <v>7</v>
      </c>
      <c r="E7" s="28" t="s">
        <v>7</v>
      </c>
      <c r="F7" s="28" t="s">
        <v>7</v>
      </c>
      <c r="G7" s="28" t="s">
        <v>7</v>
      </c>
    </row>
    <row r="8">
      <c r="C8" s="29" t="s">
        <v>8</v>
      </c>
      <c r="D8" s="29" t="s">
        <v>8</v>
      </c>
      <c r="E8" s="29" t="s">
        <v>8</v>
      </c>
      <c r="F8" s="29" t="s">
        <v>8</v>
      </c>
      <c r="G8" s="29" t="s">
        <v>8</v>
      </c>
    </row>
    <row r="9">
      <c r="C9" s="29" t="s">
        <v>8</v>
      </c>
      <c r="D9" s="29" t="s">
        <v>8</v>
      </c>
      <c r="E9" s="29" t="s">
        <v>8</v>
      </c>
      <c r="F9" s="29" t="s">
        <v>8</v>
      </c>
      <c r="G9" s="29" t="s">
        <v>8</v>
      </c>
    </row>
    <row r="11">
      <c r="B11" s="28" t="s">
        <v>9</v>
      </c>
      <c r="C11" s="28" t="s">
        <v>9</v>
      </c>
      <c r="D11" s="28" t="s">
        <v>9</v>
      </c>
      <c r="E11" s="28" t="s">
        <v>9</v>
      </c>
      <c r="F11" s="28" t="s">
        <v>9</v>
      </c>
      <c r="G11" s="28" t="s">
        <v>9</v>
      </c>
    </row>
    <row r="12">
      <c r="C12" s="62" t="s">
        <v>10</v>
      </c>
      <c r="D12" s="29" t="s">
        <v>11</v>
      </c>
      <c r="E12" s="29" t="s">
        <v>11</v>
      </c>
      <c r="F12" s="29" t="s">
        <v>11</v>
      </c>
      <c r="G12" s="29" t="s">
        <v>11</v>
      </c>
    </row>
    <row r="13">
      <c r="C13" s="62" t="s">
        <v>12</v>
      </c>
      <c r="D13" s="29" t="s">
        <v>13</v>
      </c>
      <c r="E13" s="29" t="s">
        <v>13</v>
      </c>
      <c r="F13" s="29" t="s">
        <v>13</v>
      </c>
      <c r="G13" s="29" t="s">
        <v>13</v>
      </c>
    </row>
    <row r="14">
      <c r="C14" s="62" t="s">
        <v>14</v>
      </c>
      <c r="D14" s="29" t="s">
        <v>15</v>
      </c>
      <c r="E14" s="29" t="s">
        <v>15</v>
      </c>
      <c r="F14" s="29" t="s">
        <v>15</v>
      </c>
      <c r="G14" s="29" t="s">
        <v>15</v>
      </c>
    </row>
    <row r="16">
      <c r="B16" s="28" t="s">
        <v>16</v>
      </c>
      <c r="C16" s="28" t="s">
        <v>16</v>
      </c>
      <c r="D16" s="28" t="s">
        <v>16</v>
      </c>
      <c r="E16" s="28" t="s">
        <v>16</v>
      </c>
      <c r="F16" s="28" t="s">
        <v>16</v>
      </c>
      <c r="G16" s="28" t="s">
        <v>16</v>
      </c>
    </row>
    <row r="17">
      <c r="C17" s="62" t="s">
        <v>2</v>
      </c>
      <c r="D17" s="29" t="s">
        <v>3</v>
      </c>
      <c r="E17" s="29" t="s">
        <v>3</v>
      </c>
      <c r="F17" s="29" t="s">
        <v>3</v>
      </c>
      <c r="G17" s="29" t="s">
        <v>3</v>
      </c>
    </row>
    <row r="18">
      <c r="C18" s="62" t="s">
        <v>4</v>
      </c>
      <c r="D18" s="29" t="s">
        <v>5</v>
      </c>
      <c r="E18" s="29" t="s">
        <v>5</v>
      </c>
      <c r="F18" s="29" t="s">
        <v>5</v>
      </c>
      <c r="G18" s="29" t="s">
        <v>5</v>
      </c>
    </row>
    <row r="19">
      <c r="C19" s="62" t="s">
        <v>17</v>
      </c>
      <c r="D19" s="29" t="s">
        <v>18</v>
      </c>
      <c r="E19" s="29" t="s">
        <v>18</v>
      </c>
      <c r="F19" s="29" t="s">
        <v>18</v>
      </c>
      <c r="G19" s="29" t="s">
        <v>18</v>
      </c>
    </row>
    <row r="20">
      <c r="C20" s="62" t="s">
        <v>19</v>
      </c>
      <c r="D20" s="29" t="s">
        <v>20</v>
      </c>
      <c r="E20" s="29" t="s">
        <v>20</v>
      </c>
      <c r="F20" s="29" t="s">
        <v>20</v>
      </c>
      <c r="G20" s="29" t="s">
        <v>20</v>
      </c>
    </row>
    <row r="21">
      <c r="C21" s="62" t="s">
        <v>21</v>
      </c>
      <c r="D21" s="29" t="s">
        <v>22</v>
      </c>
      <c r="E21" s="29" t="s">
        <v>22</v>
      </c>
      <c r="F21" s="29" t="s">
        <v>22</v>
      </c>
      <c r="G21" s="29" t="s">
        <v>22</v>
      </c>
    </row>
  </sheetData>
  <mergeCells>
    <mergeCell ref="B1"/>
    <mergeCell ref="C1:G1"/>
    <mergeCell ref="B2"/>
    <mergeCell ref="C2:G2"/>
    <mergeCell ref="B3"/>
    <mergeCell ref="C3:G3"/>
    <mergeCell ref="B4"/>
    <mergeCell ref="C4:G4"/>
    <mergeCell ref="B7:G7"/>
    <mergeCell ref="C8:G9"/>
    <mergeCell ref="B11:G11"/>
    <mergeCell ref="D12:G12"/>
    <mergeCell ref="D13:G13"/>
    <mergeCell ref="D14:G14"/>
    <mergeCell ref="B16:G16"/>
    <mergeCell ref="D17:G17"/>
    <mergeCell ref="D18:G18"/>
    <mergeCell ref="D19:G19"/>
    <mergeCell ref="D20:G20"/>
    <mergeCell ref="D21:G21"/>
  </mergeCells>
  <headerFooter/>
</worksheet>
</file>

<file path=xl/worksheets/sheet50.xml><?xml version="1.0" encoding="utf-8"?>
<worksheet xmlns:r="http://schemas.openxmlformats.org/officeDocument/2006/relationships" xmlns="http://schemas.openxmlformats.org/spreadsheetml/2006/main">
  <dimension ref="A1:S30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10" customWidth="1"/>
    <col min="2" max="2" width="20" customWidth="1"/>
    <col min="3" max="3" width="10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</cols>
  <sheetData>
    <row r="1" s="49" customFormat="1">
      <c r="B1" s="50" t="s">
        <v>0</v>
      </c>
      <c r="C1" s="49" t="s">
        <v>1</v>
      </c>
      <c r="D1" s="49" t="s">
        <v>1</v>
      </c>
      <c r="E1" s="49" t="s">
        <v>1</v>
      </c>
      <c r="F1" s="49" t="s">
        <v>1</v>
      </c>
      <c r="G1" s="49" t="s">
        <v>1</v>
      </c>
      <c r="H1" s="49" t="s">
        <v>1</v>
      </c>
      <c r="I1" s="49" t="s">
        <v>1</v>
      </c>
      <c r="J1" s="49" t="s">
        <v>1</v>
      </c>
      <c r="K1" s="49" t="s">
        <v>1</v>
      </c>
      <c r="L1" s="49" t="s">
        <v>1</v>
      </c>
      <c r="M1" s="49" t="s">
        <v>1</v>
      </c>
      <c r="N1" s="49" t="s">
        <v>1</v>
      </c>
      <c r="O1" s="49" t="s">
        <v>1</v>
      </c>
      <c r="P1" s="49" t="s">
        <v>1</v>
      </c>
      <c r="Q1" s="49" t="s">
        <v>1</v>
      </c>
      <c r="R1" s="49" t="s">
        <v>1</v>
      </c>
      <c r="S1" s="49" t="s">
        <v>1</v>
      </c>
    </row>
    <row r="2" s="49" customFormat="1">
      <c r="B2" s="50" t="s">
        <v>2</v>
      </c>
      <c r="C2" s="49" t="s">
        <v>3</v>
      </c>
      <c r="D2" s="49" t="s">
        <v>3</v>
      </c>
      <c r="E2" s="49" t="s">
        <v>3</v>
      </c>
      <c r="F2" s="49" t="s">
        <v>3</v>
      </c>
      <c r="G2" s="49" t="s">
        <v>3</v>
      </c>
      <c r="H2" s="49" t="s">
        <v>3</v>
      </c>
      <c r="I2" s="49" t="s">
        <v>3</v>
      </c>
      <c r="J2" s="49" t="s">
        <v>3</v>
      </c>
      <c r="K2" s="49" t="s">
        <v>3</v>
      </c>
      <c r="L2" s="49" t="s">
        <v>3</v>
      </c>
      <c r="M2" s="49" t="s">
        <v>3</v>
      </c>
      <c r="N2" s="49" t="s">
        <v>3</v>
      </c>
      <c r="O2" s="49" t="s">
        <v>3</v>
      </c>
      <c r="P2" s="49" t="s">
        <v>3</v>
      </c>
      <c r="Q2" s="49" t="s">
        <v>3</v>
      </c>
      <c r="R2" s="49" t="s">
        <v>3</v>
      </c>
      <c r="S2" s="49" t="s">
        <v>3</v>
      </c>
    </row>
    <row r="3" s="49" customFormat="1">
      <c r="B3" s="50" t="s">
        <v>4</v>
      </c>
      <c r="C3" s="49" t="s">
        <v>5</v>
      </c>
      <c r="D3" s="49" t="s">
        <v>5</v>
      </c>
      <c r="E3" s="49" t="s">
        <v>5</v>
      </c>
      <c r="F3" s="49" t="s">
        <v>5</v>
      </c>
      <c r="G3" s="49" t="s">
        <v>5</v>
      </c>
      <c r="H3" s="49" t="s">
        <v>5</v>
      </c>
      <c r="I3" s="49" t="s">
        <v>5</v>
      </c>
      <c r="J3" s="49" t="s">
        <v>5</v>
      </c>
      <c r="K3" s="49" t="s">
        <v>5</v>
      </c>
      <c r="L3" s="49" t="s">
        <v>5</v>
      </c>
      <c r="M3" s="49" t="s">
        <v>5</v>
      </c>
      <c r="N3" s="49" t="s">
        <v>5</v>
      </c>
      <c r="O3" s="49" t="s">
        <v>5</v>
      </c>
      <c r="P3" s="49" t="s">
        <v>5</v>
      </c>
      <c r="Q3" s="49" t="s">
        <v>5</v>
      </c>
      <c r="R3" s="49" t="s">
        <v>5</v>
      </c>
      <c r="S3" s="49" t="s">
        <v>5</v>
      </c>
    </row>
    <row r="4" s="49" customFormat="1">
      <c r="B4" s="50" t="s">
        <v>6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</row>
    <row r="6">
      <c r="B6" s="28" t="s">
        <v>23</v>
      </c>
      <c r="C6" s="28" t="s">
        <v>23</v>
      </c>
      <c r="D6" s="28" t="s">
        <v>23</v>
      </c>
      <c r="E6" s="28" t="s">
        <v>23</v>
      </c>
      <c r="F6" s="28" t="s">
        <v>23</v>
      </c>
      <c r="G6" s="28" t="s">
        <v>23</v>
      </c>
      <c r="H6" s="28" t="s">
        <v>23</v>
      </c>
      <c r="I6" s="28" t="s">
        <v>23</v>
      </c>
      <c r="J6" s="28" t="s">
        <v>23</v>
      </c>
      <c r="K6" s="28" t="s">
        <v>23</v>
      </c>
      <c r="L6" s="28" t="s">
        <v>23</v>
      </c>
      <c r="M6" s="28" t="s">
        <v>23</v>
      </c>
      <c r="N6" s="28" t="s">
        <v>23</v>
      </c>
      <c r="O6" s="28" t="s">
        <v>23</v>
      </c>
      <c r="P6" s="28" t="s">
        <v>23</v>
      </c>
      <c r="Q6" s="28" t="s">
        <v>23</v>
      </c>
      <c r="R6" s="28" t="s">
        <v>23</v>
      </c>
      <c r="S6" s="28" t="s">
        <v>23</v>
      </c>
    </row>
    <row r="8">
      <c r="B8" s="64" t="s">
        <v>24</v>
      </c>
      <c r="C8" s="64" t="s">
        <v>24</v>
      </c>
      <c r="D8" s="64" t="s">
        <v>25</v>
      </c>
      <c r="E8" s="64" t="s">
        <v>25</v>
      </c>
      <c r="F8" s="64" t="s">
        <v>25</v>
      </c>
      <c r="G8" s="64" t="s">
        <v>25</v>
      </c>
      <c r="H8" s="64" t="s">
        <v>25</v>
      </c>
      <c r="I8" s="64" t="s">
        <v>26</v>
      </c>
      <c r="J8" s="64" t="s">
        <v>26</v>
      </c>
      <c r="K8" s="64" t="s">
        <v>26</v>
      </c>
      <c r="L8" s="64" t="s">
        <v>26</v>
      </c>
      <c r="M8" s="64" t="s">
        <v>26</v>
      </c>
      <c r="N8" s="64" t="s">
        <v>27</v>
      </c>
      <c r="O8" s="64" t="s">
        <v>27</v>
      </c>
      <c r="P8" s="64" t="s">
        <v>27</v>
      </c>
      <c r="Q8" s="64" t="s">
        <v>27</v>
      </c>
      <c r="R8" s="64" t="s">
        <v>27</v>
      </c>
      <c r="S8" s="64" t="s">
        <v>24</v>
      </c>
    </row>
    <row r="9">
      <c r="B9" s="61" t="s">
        <v>28</v>
      </c>
      <c r="C9" s="61" t="s">
        <v>29</v>
      </c>
      <c r="D9" s="61" t="s">
        <v>30</v>
      </c>
      <c r="E9" s="61" t="s">
        <v>31</v>
      </c>
      <c r="F9" s="61" t="s">
        <v>32</v>
      </c>
      <c r="G9" s="61" t="s">
        <v>33</v>
      </c>
      <c r="H9" s="61" t="s">
        <v>34</v>
      </c>
      <c r="I9" s="61" t="s">
        <v>30</v>
      </c>
      <c r="J9" s="61" t="s">
        <v>35</v>
      </c>
      <c r="K9" s="61" t="s">
        <v>32</v>
      </c>
      <c r="L9" s="61" t="s">
        <v>33</v>
      </c>
      <c r="M9" s="61" t="s">
        <v>34</v>
      </c>
      <c r="N9" s="61" t="s">
        <v>31</v>
      </c>
      <c r="O9" s="61" t="s">
        <v>35</v>
      </c>
      <c r="P9" s="61" t="s">
        <v>32</v>
      </c>
      <c r="Q9" s="61" t="s">
        <v>33</v>
      </c>
      <c r="R9" s="61" t="s">
        <v>34</v>
      </c>
      <c r="S9" s="61" t="s">
        <v>36</v>
      </c>
    </row>
    <row r="10">
      <c r="B10" s="53" t="s">
        <v>37</v>
      </c>
      <c r="C10" s="54" t="s">
        <v>38</v>
      </c>
      <c r="D10" s="54">
        <v>7</v>
      </c>
      <c r="E10" s="54">
        <v>300</v>
      </c>
      <c r="F10" s="54">
        <v>0</v>
      </c>
      <c r="G10" s="66">
        <f>=SUM(D10:F10)</f>
      </c>
      <c r="H10" s="68">
        <f>=F10+J10+N10</f>
      </c>
      <c r="I10" s="54">
        <v>0</v>
      </c>
      <c r="J10" s="54">
        <v>31</v>
      </c>
      <c r="K10" s="54">
        <v>0</v>
      </c>
      <c r="L10" s="66">
        <f>=SUM(I10:K10)</f>
      </c>
      <c r="M10" s="68">
        <f>=D10+K10+O10</f>
      </c>
      <c r="N10" s="54">
        <v>468</v>
      </c>
      <c r="O10" s="54">
        <v>0</v>
      </c>
      <c r="P10" s="54">
        <v>0</v>
      </c>
      <c r="Q10" s="66">
        <f>=SUM(N10:P10)</f>
      </c>
      <c r="R10" s="68">
        <f>=E10+I10+P10</f>
      </c>
      <c r="S10" s="54">
        <f>=G10+L10+Q10</f>
      </c>
    </row>
    <row r="11">
      <c r="B11" s="51" t="s">
        <v>39</v>
      </c>
      <c r="C11" s="55" t="s">
        <v>40</v>
      </c>
      <c r="D11" s="65">
        <f>=IFERROR(D10/D16, 0)</f>
      </c>
      <c r="E11" s="65">
        <f>=IFERROR(E10/E16, 0)</f>
      </c>
      <c r="F11" s="65">
        <f>=IFERROR(F10/F16, 0)</f>
      </c>
      <c r="G11" s="67">
        <f>=IFERROR(G10/G16, 0)</f>
      </c>
      <c r="H11" s="69">
        <f>=IFERROR(H10/H16, 0)</f>
      </c>
      <c r="I11" s="65">
        <f>=IFERROR(I10/I16, 0)</f>
      </c>
      <c r="J11" s="65">
        <f>=IFERROR(J10/J16, 0)</f>
      </c>
      <c r="K11" s="65">
        <f>=IFERROR(K10/K16, 0)</f>
      </c>
      <c r="L11" s="67">
        <f>=IFERROR(L10/L16, 0)</f>
      </c>
      <c r="M11" s="69">
        <f>=IFERROR(M10/M16, 0)</f>
      </c>
      <c r="N11" s="65">
        <f>=IFERROR(N10/N16, 0)</f>
      </c>
      <c r="O11" s="65">
        <f>=IFERROR(O10/O16, 0)</f>
      </c>
      <c r="P11" s="65">
        <f>=IFERROR(P10/P16, 0)</f>
      </c>
      <c r="Q11" s="67">
        <f>=IFERROR(Q10/Q16, 0)</f>
      </c>
      <c r="R11" s="69">
        <f>=IFERROR(R10/R16, 0)</f>
      </c>
      <c r="S11" s="65">
        <f>=IFERROR(S10/S16, 0)</f>
      </c>
    </row>
    <row r="12">
      <c r="B12" s="52" t="s">
        <v>41</v>
      </c>
      <c r="C12" s="54" t="s">
        <v>42</v>
      </c>
      <c r="D12" s="54">
        <v>0</v>
      </c>
      <c r="E12" s="54">
        <v>7</v>
      </c>
      <c r="F12" s="54">
        <v>0</v>
      </c>
      <c r="G12" s="66">
        <f>=SUM(D12:F12)</f>
      </c>
      <c r="H12" s="68">
        <f>=F12+J12+N12</f>
      </c>
      <c r="I12" s="54">
        <v>0</v>
      </c>
      <c r="J12" s="54">
        <v>0</v>
      </c>
      <c r="K12" s="54">
        <v>0</v>
      </c>
      <c r="L12" s="66">
        <f>=SUM(I12:K12)</f>
      </c>
      <c r="M12" s="68">
        <f>=D12+K12+O12</f>
      </c>
      <c r="N12" s="54">
        <v>12</v>
      </c>
      <c r="O12" s="54">
        <v>0</v>
      </c>
      <c r="P12" s="54">
        <v>0</v>
      </c>
      <c r="Q12" s="66">
        <f>=SUM(N12:P12)</f>
      </c>
      <c r="R12" s="68">
        <f>=E12+I12+P12</f>
      </c>
      <c r="S12" s="54">
        <f>=G12+L12+Q12</f>
      </c>
    </row>
    <row r="13">
      <c r="B13" s="51" t="s">
        <v>43</v>
      </c>
      <c r="C13" s="55" t="s">
        <v>40</v>
      </c>
      <c r="D13" s="65">
        <f>=IFERROR(D12/D16, 0)</f>
      </c>
      <c r="E13" s="65">
        <f>=IFERROR(E12/E16, 0)</f>
      </c>
      <c r="F13" s="65">
        <f>=IFERROR(F12/F16, 0)</f>
      </c>
      <c r="G13" s="67">
        <f>=IFERROR(G12/G16, 0)</f>
      </c>
      <c r="H13" s="69">
        <f>=IFERROR(H12/H16, 0)</f>
      </c>
      <c r="I13" s="65">
        <f>=IFERROR(I12/I16, 0)</f>
      </c>
      <c r="J13" s="65">
        <f>=IFERROR(J12/J16, 0)</f>
      </c>
      <c r="K13" s="65">
        <f>=IFERROR(K12/K16, 0)</f>
      </c>
      <c r="L13" s="67">
        <f>=IFERROR(L12/L16, 0)</f>
      </c>
      <c r="M13" s="69">
        <f>=IFERROR(M12/M16, 0)</f>
      </c>
      <c r="N13" s="65">
        <f>=IFERROR(N12/N16, 0)</f>
      </c>
      <c r="O13" s="65">
        <f>=IFERROR(O12/O16, 0)</f>
      </c>
      <c r="P13" s="65">
        <f>=IFERROR(P12/P16, 0)</f>
      </c>
      <c r="Q13" s="67">
        <f>=IFERROR(Q12/Q16, 0)</f>
      </c>
      <c r="R13" s="69">
        <f>=IFERROR(R12/R16, 0)</f>
      </c>
      <c r="S13" s="65">
        <f>=IFERROR(S12/S16, 0)</f>
      </c>
    </row>
    <row r="14">
      <c r="B14" s="52" t="s">
        <v>20</v>
      </c>
      <c r="C14" s="54" t="s">
        <v>44</v>
      </c>
      <c r="D14" s="54">
        <v>0</v>
      </c>
      <c r="E14" s="54">
        <v>10</v>
      </c>
      <c r="F14" s="54">
        <v>0</v>
      </c>
      <c r="G14" s="66">
        <f>=SUM(D14:F14)</f>
      </c>
      <c r="H14" s="68">
        <f>=F14+J14+N14</f>
      </c>
      <c r="I14" s="54">
        <v>0</v>
      </c>
      <c r="J14" s="54">
        <v>0</v>
      </c>
      <c r="K14" s="54">
        <v>0</v>
      </c>
      <c r="L14" s="66">
        <f>=SUM(I14:K14)</f>
      </c>
      <c r="M14" s="68">
        <f>=D14+K14+O14</f>
      </c>
      <c r="N14" s="54">
        <v>9</v>
      </c>
      <c r="O14" s="54">
        <v>0</v>
      </c>
      <c r="P14" s="54">
        <v>0</v>
      </c>
      <c r="Q14" s="66">
        <f>=SUM(N14:P14)</f>
      </c>
      <c r="R14" s="68">
        <f>=E14+I14+P14</f>
      </c>
      <c r="S14" s="54">
        <f>=G14+L14+Q14</f>
      </c>
    </row>
    <row r="15">
      <c r="B15" s="51" t="s">
        <v>24</v>
      </c>
      <c r="C15" s="55" t="s">
        <v>40</v>
      </c>
      <c r="D15" s="65">
        <f>=IFERROR(D14/D16, 0)</f>
      </c>
      <c r="E15" s="65">
        <f>=IFERROR(E14/E16, 0)</f>
      </c>
      <c r="F15" s="65">
        <f>=IFERROR(F14/F16, 0)</f>
      </c>
      <c r="G15" s="67">
        <f>=IFERROR(G14/G16, 0)</f>
      </c>
      <c r="H15" s="69">
        <f>=IFERROR(H14/H16, 0)</f>
      </c>
      <c r="I15" s="65">
        <f>=IFERROR(I14/I16, 0)</f>
      </c>
      <c r="J15" s="65">
        <f>=IFERROR(J14/J16, 0)</f>
      </c>
      <c r="K15" s="65">
        <f>=IFERROR(K14/K16, 0)</f>
      </c>
      <c r="L15" s="67">
        <f>=IFERROR(L14/L16, 0)</f>
      </c>
      <c r="M15" s="69">
        <f>=IFERROR(M14/M16, 0)</f>
      </c>
      <c r="N15" s="65">
        <f>=IFERROR(N14/N16, 0)</f>
      </c>
      <c r="O15" s="65">
        <f>=IFERROR(O14/O16, 0)</f>
      </c>
      <c r="P15" s="65">
        <f>=IFERROR(P14/P16, 0)</f>
      </c>
      <c r="Q15" s="67">
        <f>=IFERROR(Q14/Q16, 0)</f>
      </c>
      <c r="R15" s="69">
        <f>=IFERROR(R14/R16, 0)</f>
      </c>
      <c r="S15" s="65">
        <f>=IFERROR(S14/S16, 0)</f>
      </c>
    </row>
    <row r="16">
      <c r="B16" s="51" t="s">
        <v>24</v>
      </c>
      <c r="C16" s="53" t="s">
        <v>36</v>
      </c>
      <c r="D16" s="53">
        <f>=D10+D12+D14</f>
      </c>
      <c r="E16" s="53">
        <f>=E10+E12+E14</f>
      </c>
      <c r="F16" s="53">
        <f>=F10+F12+F14</f>
      </c>
      <c r="G16" s="70">
        <f>=G10+G12+G14</f>
      </c>
      <c r="H16" s="71">
        <f>=H10+H12+H14</f>
      </c>
      <c r="I16" s="53">
        <f>=I10+I12+I14</f>
      </c>
      <c r="J16" s="53">
        <f>=J10+J12+J14</f>
      </c>
      <c r="K16" s="53">
        <f>=K10+K12+K14</f>
      </c>
      <c r="L16" s="70">
        <f>=L10+L12+L14</f>
      </c>
      <c r="M16" s="71">
        <f>=M10+M12+M14</f>
      </c>
      <c r="N16" s="53">
        <f>=N10+N12+N14</f>
      </c>
      <c r="O16" s="53">
        <f>=O10+O12+O14</f>
      </c>
      <c r="P16" s="53">
        <f>=P10+P12+P14</f>
      </c>
      <c r="Q16" s="70">
        <f>=Q10+Q12+Q14</f>
      </c>
      <c r="R16" s="71">
        <f>=R10+R12+R14</f>
      </c>
      <c r="S16" s="53">
        <f>=S10+S12+S14</f>
      </c>
    </row>
    <row r="17">
      <c r="B17" s="51" t="s">
        <v>24</v>
      </c>
      <c r="C17" s="54" t="s">
        <v>45</v>
      </c>
      <c r="D17" s="54">
        <v>0.44</v>
      </c>
      <c r="E17" s="54">
        <v>0.9</v>
      </c>
      <c r="F17" s="54">
        <v>0</v>
      </c>
      <c r="G17" s="66">
        <v>0.91</v>
      </c>
      <c r="H17" s="68">
        <v>0.92</v>
      </c>
      <c r="I17" s="54">
        <v>0</v>
      </c>
      <c r="J17" s="54">
        <v>0.6</v>
      </c>
      <c r="K17" s="54">
        <v>0</v>
      </c>
      <c r="L17" s="66">
        <v>0.6</v>
      </c>
      <c r="M17" s="68">
        <v>0.44</v>
      </c>
      <c r="N17" s="54">
        <v>0.9</v>
      </c>
      <c r="O17" s="54">
        <v>0</v>
      </c>
      <c r="P17" s="54">
        <v>0</v>
      </c>
      <c r="Q17" s="66">
        <v>0.9</v>
      </c>
      <c r="R17" s="68">
        <v>0.9</v>
      </c>
      <c r="S17" s="54">
        <v>0.91</v>
      </c>
    </row>
    <row r="18">
      <c r="B18" s="51" t="s">
        <v>24</v>
      </c>
      <c r="C18" s="55" t="s">
        <v>46</v>
      </c>
      <c r="D18" s="65" t="s">
        <v>24</v>
      </c>
      <c r="E18" s="65" t="s">
        <v>24</v>
      </c>
      <c r="F18" s="65" t="s">
        <v>24</v>
      </c>
      <c r="G18" s="67">
        <f>=IFERROR(G16/S16, 0)</f>
      </c>
      <c r="H18" s="69">
        <f>=IFERROR(H16/S16, 0)</f>
      </c>
      <c r="I18" s="65" t="s">
        <v>24</v>
      </c>
      <c r="J18" s="65" t="s">
        <v>24</v>
      </c>
      <c r="K18" s="65" t="s">
        <v>24</v>
      </c>
      <c r="L18" s="67">
        <f>=IFERROR(L16/S16, 0)</f>
      </c>
      <c r="M18" s="69">
        <f>=IFERROR(M16/S16, 0)</f>
      </c>
      <c r="N18" s="65" t="s">
        <v>24</v>
      </c>
      <c r="O18" s="65" t="s">
        <v>24</v>
      </c>
      <c r="P18" s="65" t="s">
        <v>24</v>
      </c>
      <c r="Q18" s="67">
        <f>=IFERROR(Q16/S16, 0)</f>
      </c>
      <c r="R18" s="69">
        <f>=IFERROR(R16/S16, 0)</f>
      </c>
      <c r="S18" s="55" t="s">
        <v>24</v>
      </c>
    </row>
    <row r="19">
      <c r="B19" s="51" t="s">
        <v>24</v>
      </c>
      <c r="C19" s="54" t="s">
        <v>24</v>
      </c>
      <c r="D19" s="54" t="s">
        <v>24</v>
      </c>
      <c r="E19" s="54" t="s">
        <v>24</v>
      </c>
      <c r="F19" s="54" t="s">
        <v>24</v>
      </c>
      <c r="G19" s="66" t="s">
        <v>24</v>
      </c>
      <c r="H19" s="68" t="s">
        <v>24</v>
      </c>
      <c r="I19" s="54" t="s">
        <v>24</v>
      </c>
      <c r="J19" s="54" t="s">
        <v>24</v>
      </c>
      <c r="K19" s="54" t="s">
        <v>24</v>
      </c>
      <c r="L19" s="66" t="s">
        <v>24</v>
      </c>
      <c r="M19" s="68" t="s">
        <v>24</v>
      </c>
      <c r="N19" s="54" t="s">
        <v>24</v>
      </c>
      <c r="O19" s="54" t="s">
        <v>24</v>
      </c>
      <c r="P19" s="54" t="s">
        <v>24</v>
      </c>
      <c r="Q19" s="66" t="s">
        <v>24</v>
      </c>
      <c r="R19" s="68" t="s">
        <v>24</v>
      </c>
      <c r="S19" s="55" t="s">
        <v>24</v>
      </c>
    </row>
    <row r="20">
      <c r="B20" s="53" t="s">
        <v>47</v>
      </c>
      <c r="C20" s="54" t="s">
        <v>38</v>
      </c>
      <c r="D20" s="54">
        <v>15</v>
      </c>
      <c r="E20" s="54">
        <v>498</v>
      </c>
      <c r="F20" s="54">
        <v>0</v>
      </c>
      <c r="G20" s="66">
        <f>=SUM(D20:F20)</f>
      </c>
      <c r="H20" s="68">
        <f>=F20+J20+N20</f>
      </c>
      <c r="I20" s="54">
        <v>1</v>
      </c>
      <c r="J20" s="54">
        <v>4</v>
      </c>
      <c r="K20" s="54">
        <v>0</v>
      </c>
      <c r="L20" s="66">
        <f>=SUM(I20:K20)</f>
      </c>
      <c r="M20" s="68">
        <f>=D20+K20+O20</f>
      </c>
      <c r="N20" s="54">
        <v>408</v>
      </c>
      <c r="O20" s="54">
        <v>2</v>
      </c>
      <c r="P20" s="54">
        <v>0</v>
      </c>
      <c r="Q20" s="66">
        <f>=SUM(N20:P20)</f>
      </c>
      <c r="R20" s="68">
        <f>=E20+I20+P20</f>
      </c>
      <c r="S20" s="54">
        <f>=G20+L20+Q20</f>
      </c>
    </row>
    <row r="21">
      <c r="B21" s="51" t="s">
        <v>39</v>
      </c>
      <c r="C21" s="55" t="s">
        <v>40</v>
      </c>
      <c r="D21" s="65">
        <f>=IFERROR(D20/D26, 0)</f>
      </c>
      <c r="E21" s="65">
        <f>=IFERROR(E20/E26, 0)</f>
      </c>
      <c r="F21" s="65">
        <f>=IFERROR(F20/F26, 0)</f>
      </c>
      <c r="G21" s="67">
        <f>=IFERROR(G20/G26, 0)</f>
      </c>
      <c r="H21" s="69">
        <f>=IFERROR(H20/H26, 0)</f>
      </c>
      <c r="I21" s="65">
        <f>=IFERROR(I20/I26, 0)</f>
      </c>
      <c r="J21" s="65">
        <f>=IFERROR(J20/J26, 0)</f>
      </c>
      <c r="K21" s="65">
        <f>=IFERROR(K20/K26, 0)</f>
      </c>
      <c r="L21" s="67">
        <f>=IFERROR(L20/L26, 0)</f>
      </c>
      <c r="M21" s="69">
        <f>=IFERROR(M20/M26, 0)</f>
      </c>
      <c r="N21" s="65">
        <f>=IFERROR(N20/N26, 0)</f>
      </c>
      <c r="O21" s="65">
        <f>=IFERROR(O20/O26, 0)</f>
      </c>
      <c r="P21" s="65">
        <f>=IFERROR(P20/P26, 0)</f>
      </c>
      <c r="Q21" s="67">
        <f>=IFERROR(Q20/Q26, 0)</f>
      </c>
      <c r="R21" s="69">
        <f>=IFERROR(R20/R26, 0)</f>
      </c>
      <c r="S21" s="65">
        <f>=IFERROR(S20/S26, 0)</f>
      </c>
    </row>
    <row r="22">
      <c r="B22" s="52" t="s">
        <v>48</v>
      </c>
      <c r="C22" s="54" t="s">
        <v>42</v>
      </c>
      <c r="D22" s="54">
        <v>1</v>
      </c>
      <c r="E22" s="54">
        <v>15</v>
      </c>
      <c r="F22" s="54">
        <v>0</v>
      </c>
      <c r="G22" s="66">
        <f>=SUM(D22:F22)</f>
      </c>
      <c r="H22" s="68">
        <f>=F22+J22+N22</f>
      </c>
      <c r="I22" s="54">
        <v>0</v>
      </c>
      <c r="J22" s="54">
        <v>0</v>
      </c>
      <c r="K22" s="54">
        <v>0</v>
      </c>
      <c r="L22" s="66">
        <f>=SUM(I22:K22)</f>
      </c>
      <c r="M22" s="68">
        <f>=D22+K22+O22</f>
      </c>
      <c r="N22" s="54">
        <v>12</v>
      </c>
      <c r="O22" s="54">
        <v>1</v>
      </c>
      <c r="P22" s="54">
        <v>0</v>
      </c>
      <c r="Q22" s="66">
        <f>=SUM(N22:P22)</f>
      </c>
      <c r="R22" s="68">
        <f>=E22+I22+P22</f>
      </c>
      <c r="S22" s="54">
        <f>=G22+L22+Q22</f>
      </c>
    </row>
    <row r="23">
      <c r="B23" s="51" t="s">
        <v>43</v>
      </c>
      <c r="C23" s="55" t="s">
        <v>40</v>
      </c>
      <c r="D23" s="65">
        <f>=IFERROR(D22/D26, 0)</f>
      </c>
      <c r="E23" s="65">
        <f>=IFERROR(E22/E26, 0)</f>
      </c>
      <c r="F23" s="65">
        <f>=IFERROR(F22/F26, 0)</f>
      </c>
      <c r="G23" s="67">
        <f>=IFERROR(G22/G26, 0)</f>
      </c>
      <c r="H23" s="69">
        <f>=IFERROR(H22/H26, 0)</f>
      </c>
      <c r="I23" s="65">
        <f>=IFERROR(I22/I26, 0)</f>
      </c>
      <c r="J23" s="65">
        <f>=IFERROR(J22/J26, 0)</f>
      </c>
      <c r="K23" s="65">
        <f>=IFERROR(K22/K26, 0)</f>
      </c>
      <c r="L23" s="67">
        <f>=IFERROR(L22/L26, 0)</f>
      </c>
      <c r="M23" s="69">
        <f>=IFERROR(M22/M26, 0)</f>
      </c>
      <c r="N23" s="65">
        <f>=IFERROR(N22/N26, 0)</f>
      </c>
      <c r="O23" s="65">
        <f>=IFERROR(O22/O26, 0)</f>
      </c>
      <c r="P23" s="65">
        <f>=IFERROR(P22/P26, 0)</f>
      </c>
      <c r="Q23" s="67">
        <f>=IFERROR(Q22/Q26, 0)</f>
      </c>
      <c r="R23" s="69">
        <f>=IFERROR(R22/R26, 0)</f>
      </c>
      <c r="S23" s="65">
        <f>=IFERROR(S22/S26, 0)</f>
      </c>
    </row>
    <row r="24">
      <c r="B24" s="52" t="s">
        <v>22</v>
      </c>
      <c r="C24" s="54" t="s">
        <v>44</v>
      </c>
      <c r="D24" s="54">
        <v>0</v>
      </c>
      <c r="E24" s="54">
        <v>13</v>
      </c>
      <c r="F24" s="54">
        <v>0</v>
      </c>
      <c r="G24" s="66">
        <f>=SUM(D24:F24)</f>
      </c>
      <c r="H24" s="68">
        <f>=F24+J24+N24</f>
      </c>
      <c r="I24" s="54">
        <v>0</v>
      </c>
      <c r="J24" s="54">
        <v>0</v>
      </c>
      <c r="K24" s="54">
        <v>0</v>
      </c>
      <c r="L24" s="66">
        <f>=SUM(I24:K24)</f>
      </c>
      <c r="M24" s="68">
        <f>=D24+K24+O24</f>
      </c>
      <c r="N24" s="54">
        <v>21</v>
      </c>
      <c r="O24" s="54">
        <v>0</v>
      </c>
      <c r="P24" s="54">
        <v>0</v>
      </c>
      <c r="Q24" s="66">
        <f>=SUM(N24:P24)</f>
      </c>
      <c r="R24" s="68">
        <f>=E24+I24+P24</f>
      </c>
      <c r="S24" s="54">
        <f>=G24+L24+Q24</f>
      </c>
    </row>
    <row r="25">
      <c r="B25" s="51" t="s">
        <v>24</v>
      </c>
      <c r="C25" s="55" t="s">
        <v>40</v>
      </c>
      <c r="D25" s="65">
        <f>=IFERROR(D24/D26, 0)</f>
      </c>
      <c r="E25" s="65">
        <f>=IFERROR(E24/E26, 0)</f>
      </c>
      <c r="F25" s="65">
        <f>=IFERROR(F24/F26, 0)</f>
      </c>
      <c r="G25" s="67">
        <f>=IFERROR(G24/G26, 0)</f>
      </c>
      <c r="H25" s="69">
        <f>=IFERROR(H24/H26, 0)</f>
      </c>
      <c r="I25" s="65">
        <f>=IFERROR(I24/I26, 0)</f>
      </c>
      <c r="J25" s="65">
        <f>=IFERROR(J24/J26, 0)</f>
      </c>
      <c r="K25" s="65">
        <f>=IFERROR(K24/K26, 0)</f>
      </c>
      <c r="L25" s="67">
        <f>=IFERROR(L24/L26, 0)</f>
      </c>
      <c r="M25" s="69">
        <f>=IFERROR(M24/M26, 0)</f>
      </c>
      <c r="N25" s="65">
        <f>=IFERROR(N24/N26, 0)</f>
      </c>
      <c r="O25" s="65">
        <f>=IFERROR(O24/O26, 0)</f>
      </c>
      <c r="P25" s="65">
        <f>=IFERROR(P24/P26, 0)</f>
      </c>
      <c r="Q25" s="67">
        <f>=IFERROR(Q24/Q26, 0)</f>
      </c>
      <c r="R25" s="69">
        <f>=IFERROR(R24/R26, 0)</f>
      </c>
      <c r="S25" s="65">
        <f>=IFERROR(S24/S26, 0)</f>
      </c>
    </row>
    <row r="26">
      <c r="B26" s="51" t="s">
        <v>24</v>
      </c>
      <c r="C26" s="53" t="s">
        <v>36</v>
      </c>
      <c r="D26" s="53">
        <f>=D20+D22+D24</f>
      </c>
      <c r="E26" s="53">
        <f>=E20+E22+E24</f>
      </c>
      <c r="F26" s="53">
        <f>=F20+F22+F24</f>
      </c>
      <c r="G26" s="70">
        <f>=G20+G22+G24</f>
      </c>
      <c r="H26" s="71">
        <f>=H20+H22+H24</f>
      </c>
      <c r="I26" s="53">
        <f>=I20+I22+I24</f>
      </c>
      <c r="J26" s="53">
        <f>=J20+J22+J24</f>
      </c>
      <c r="K26" s="53">
        <f>=K20+K22+K24</f>
      </c>
      <c r="L26" s="70">
        <f>=L20+L22+L24</f>
      </c>
      <c r="M26" s="71">
        <f>=M20+M22+M24</f>
      </c>
      <c r="N26" s="53">
        <f>=N20+N22+N24</f>
      </c>
      <c r="O26" s="53">
        <f>=O20+O22+O24</f>
      </c>
      <c r="P26" s="53">
        <f>=P20+P22+P24</f>
      </c>
      <c r="Q26" s="70">
        <f>=Q20+Q22+Q24</f>
      </c>
      <c r="R26" s="71">
        <f>=R20+R22+R24</f>
      </c>
      <c r="S26" s="53">
        <f>=S20+S22+S24</f>
      </c>
    </row>
    <row r="27">
      <c r="B27" s="51" t="s">
        <v>24</v>
      </c>
      <c r="C27" s="54" t="s">
        <v>45</v>
      </c>
      <c r="D27" s="54">
        <v>0.57</v>
      </c>
      <c r="E27" s="54">
        <v>0.89</v>
      </c>
      <c r="F27" s="54">
        <v>0</v>
      </c>
      <c r="G27" s="66">
        <v>0.89</v>
      </c>
      <c r="H27" s="68">
        <v>0.84</v>
      </c>
      <c r="I27" s="54">
        <v>0.25</v>
      </c>
      <c r="J27" s="54">
        <v>0.33</v>
      </c>
      <c r="K27" s="54">
        <v>0</v>
      </c>
      <c r="L27" s="66">
        <v>0.42</v>
      </c>
      <c r="M27" s="68">
        <v>0.59</v>
      </c>
      <c r="N27" s="54">
        <v>0.85</v>
      </c>
      <c r="O27" s="54">
        <v>0.75</v>
      </c>
      <c r="P27" s="54">
        <v>0</v>
      </c>
      <c r="Q27" s="66">
        <v>0.85</v>
      </c>
      <c r="R27" s="68">
        <v>0.89</v>
      </c>
      <c r="S27" s="54">
        <v>0.93</v>
      </c>
    </row>
    <row r="28">
      <c r="B28" s="51" t="s">
        <v>24</v>
      </c>
      <c r="C28" s="55" t="s">
        <v>46</v>
      </c>
      <c r="D28" s="65" t="s">
        <v>24</v>
      </c>
      <c r="E28" s="65" t="s">
        <v>24</v>
      </c>
      <c r="F28" s="65" t="s">
        <v>24</v>
      </c>
      <c r="G28" s="67">
        <f>=IFERROR(G26/S26, 0)</f>
      </c>
      <c r="H28" s="69">
        <f>=IFERROR(H26/S26, 0)</f>
      </c>
      <c r="I28" s="65" t="s">
        <v>24</v>
      </c>
      <c r="J28" s="65" t="s">
        <v>24</v>
      </c>
      <c r="K28" s="65" t="s">
        <v>24</v>
      </c>
      <c r="L28" s="67">
        <f>=IFERROR(L26/S26, 0)</f>
      </c>
      <c r="M28" s="69">
        <f>=IFERROR(M26/S26, 0)</f>
      </c>
      <c r="N28" s="65" t="s">
        <v>24</v>
      </c>
      <c r="O28" s="65" t="s">
        <v>24</v>
      </c>
      <c r="P28" s="65" t="s">
        <v>24</v>
      </c>
      <c r="Q28" s="67">
        <f>=IFERROR(Q26/S26, 0)</f>
      </c>
      <c r="R28" s="69">
        <f>=IFERROR(R26/S26, 0)</f>
      </c>
      <c r="S28" s="55" t="s">
        <v>24</v>
      </c>
    </row>
    <row r="29">
      <c r="B29" s="51" t="s">
        <v>24</v>
      </c>
      <c r="C29" s="54" t="s">
        <v>24</v>
      </c>
      <c r="D29" s="54" t="s">
        <v>24</v>
      </c>
      <c r="E29" s="54" t="s">
        <v>24</v>
      </c>
      <c r="F29" s="54" t="s">
        <v>24</v>
      </c>
      <c r="G29" s="66" t="s">
        <v>24</v>
      </c>
      <c r="H29" s="68" t="s">
        <v>24</v>
      </c>
      <c r="I29" s="54" t="s">
        <v>24</v>
      </c>
      <c r="J29" s="54" t="s">
        <v>24</v>
      </c>
      <c r="K29" s="54" t="s">
        <v>24</v>
      </c>
      <c r="L29" s="66" t="s">
        <v>24</v>
      </c>
      <c r="M29" s="68" t="s">
        <v>24</v>
      </c>
      <c r="N29" s="54" t="s">
        <v>24</v>
      </c>
      <c r="O29" s="54" t="s">
        <v>24</v>
      </c>
      <c r="P29" s="54" t="s">
        <v>24</v>
      </c>
      <c r="Q29" s="66" t="s">
        <v>24</v>
      </c>
      <c r="R29" s="68" t="s">
        <v>24</v>
      </c>
      <c r="S29" s="55" t="s">
        <v>24</v>
      </c>
    </row>
    <row r="30">
      <c r="B30" s="61" t="s">
        <v>24</v>
      </c>
      <c r="C30" s="61" t="s">
        <v>24</v>
      </c>
      <c r="D30" s="61" t="s">
        <v>24</v>
      </c>
      <c r="E30" s="61" t="s">
        <v>24</v>
      </c>
      <c r="F30" s="61" t="s">
        <v>24</v>
      </c>
      <c r="G30" s="61" t="s">
        <v>24</v>
      </c>
      <c r="H30" s="61" t="s">
        <v>24</v>
      </c>
      <c r="I30" s="61" t="s">
        <v>24</v>
      </c>
      <c r="J30" s="61" t="s">
        <v>24</v>
      </c>
      <c r="K30" s="61" t="s">
        <v>24</v>
      </c>
      <c r="L30" s="61" t="s">
        <v>24</v>
      </c>
      <c r="M30" s="61" t="s">
        <v>24</v>
      </c>
      <c r="N30" s="61" t="s">
        <v>24</v>
      </c>
      <c r="O30" s="61" t="s">
        <v>24</v>
      </c>
      <c r="P30" s="61" t="s">
        <v>24</v>
      </c>
      <c r="Q30" s="61" t="s">
        <v>24</v>
      </c>
      <c r="R30" s="61" t="s">
        <v>24</v>
      </c>
      <c r="S30" s="61" t="s">
        <v>24</v>
      </c>
    </row>
  </sheetData>
  <mergeCells>
    <mergeCell ref="B1"/>
    <mergeCell ref="C1:S1"/>
    <mergeCell ref="B2"/>
    <mergeCell ref="C2:S2"/>
    <mergeCell ref="B3"/>
    <mergeCell ref="C3:S3"/>
    <mergeCell ref="B4"/>
    <mergeCell ref="C4:S4"/>
    <mergeCell ref="B6:S6"/>
    <mergeCell ref="B8:C8"/>
    <mergeCell ref="D8:H8"/>
    <mergeCell ref="I8:M8"/>
    <mergeCell ref="N8:R8"/>
    <mergeCell ref="B30:S30"/>
  </mergeCells>
  <headerFooter/>
</worksheet>
</file>

<file path=xl/worksheets/sheet51.xml><?xml version="1.0" encoding="utf-8"?>
<worksheet xmlns:r="http://schemas.openxmlformats.org/officeDocument/2006/relationships" xmlns="http://schemas.openxmlformats.org/spreadsheetml/2006/main">
  <dimension ref="A1:F440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10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 s="49" customFormat="1">
      <c r="B1" s="50" t="s">
        <v>0</v>
      </c>
      <c r="C1" s="49" t="s">
        <v>1</v>
      </c>
      <c r="D1" s="49" t="s">
        <v>1</v>
      </c>
      <c r="E1" s="49" t="s">
        <v>1</v>
      </c>
      <c r="F1" s="49" t="s">
        <v>1</v>
      </c>
    </row>
    <row r="2" s="49" customFormat="1">
      <c r="B2" s="50" t="s">
        <v>2</v>
      </c>
      <c r="C2" s="49" t="s">
        <v>3</v>
      </c>
      <c r="D2" s="49" t="s">
        <v>3</v>
      </c>
      <c r="E2" s="49" t="s">
        <v>3</v>
      </c>
      <c r="F2" s="49" t="s">
        <v>3</v>
      </c>
    </row>
    <row r="3" s="49" customFormat="1">
      <c r="B3" s="50" t="s">
        <v>4</v>
      </c>
      <c r="C3" s="49" t="s">
        <v>5</v>
      </c>
      <c r="D3" s="49" t="s">
        <v>5</v>
      </c>
      <c r="E3" s="49" t="s">
        <v>5</v>
      </c>
      <c r="F3" s="49" t="s">
        <v>5</v>
      </c>
    </row>
    <row r="4" s="49" customFormat="1">
      <c r="B4" s="50" t="s">
        <v>6</v>
      </c>
      <c r="C4" s="49"/>
      <c r="D4" s="49"/>
      <c r="E4" s="49"/>
      <c r="F4" s="49"/>
    </row>
    <row r="6">
      <c r="B6" s="28" t="s">
        <v>49</v>
      </c>
      <c r="C6" s="28" t="s">
        <v>49</v>
      </c>
      <c r="D6" s="28" t="s">
        <v>49</v>
      </c>
      <c r="E6" s="28" t="s">
        <v>49</v>
      </c>
      <c r="F6" s="28" t="s">
        <v>49</v>
      </c>
    </row>
    <row r="8">
      <c r="B8" s="64" t="s">
        <v>50</v>
      </c>
      <c r="C8" s="64" t="s">
        <v>51</v>
      </c>
      <c r="D8" s="64" t="s">
        <v>52</v>
      </c>
      <c r="E8" s="64" t="s">
        <v>53</v>
      </c>
      <c r="F8" s="64" t="s">
        <v>54</v>
      </c>
    </row>
    <row r="9">
      <c r="B9" s="72">
        <v>46142.2916666667</v>
      </c>
      <c r="C9" s="63" t="s">
        <v>25</v>
      </c>
      <c r="D9" s="63" t="s">
        <v>30</v>
      </c>
      <c r="E9" s="63" t="s">
        <v>38</v>
      </c>
      <c r="F9" s="63">
        <v>0</v>
      </c>
    </row>
    <row r="10">
      <c r="B10" s="72">
        <v>46142.2916666667</v>
      </c>
      <c r="C10" s="63" t="s">
        <v>25</v>
      </c>
      <c r="D10" s="63" t="s">
        <v>31</v>
      </c>
      <c r="E10" s="63" t="s">
        <v>38</v>
      </c>
      <c r="F10" s="63">
        <v>62</v>
      </c>
    </row>
    <row r="11">
      <c r="B11" s="72">
        <v>46142.2916666667</v>
      </c>
      <c r="C11" s="63" t="s">
        <v>25</v>
      </c>
      <c r="D11" s="63" t="s">
        <v>32</v>
      </c>
      <c r="E11" s="63" t="s">
        <v>38</v>
      </c>
      <c r="F11" s="63">
        <v>0</v>
      </c>
    </row>
    <row r="12">
      <c r="B12" s="72">
        <v>46142.2916666667</v>
      </c>
      <c r="C12" s="63" t="s">
        <v>26</v>
      </c>
      <c r="D12" s="63" t="s">
        <v>30</v>
      </c>
      <c r="E12" s="63" t="s">
        <v>38</v>
      </c>
      <c r="F12" s="63">
        <v>0</v>
      </c>
    </row>
    <row r="13">
      <c r="B13" s="72">
        <v>46142.2916666667</v>
      </c>
      <c r="C13" s="63" t="s">
        <v>26</v>
      </c>
      <c r="D13" s="63" t="s">
        <v>35</v>
      </c>
      <c r="E13" s="63" t="s">
        <v>38</v>
      </c>
      <c r="F13" s="63">
        <v>13</v>
      </c>
    </row>
    <row r="14">
      <c r="B14" s="72">
        <v>46142.2916666667</v>
      </c>
      <c r="C14" s="63" t="s">
        <v>26</v>
      </c>
      <c r="D14" s="63" t="s">
        <v>32</v>
      </c>
      <c r="E14" s="63" t="s">
        <v>38</v>
      </c>
      <c r="F14" s="63">
        <v>0</v>
      </c>
    </row>
    <row r="15">
      <c r="B15" s="72">
        <v>46142.2916666667</v>
      </c>
      <c r="C15" s="63" t="s">
        <v>27</v>
      </c>
      <c r="D15" s="63" t="s">
        <v>31</v>
      </c>
      <c r="E15" s="63" t="s">
        <v>38</v>
      </c>
      <c r="F15" s="63">
        <v>114</v>
      </c>
    </row>
    <row r="16">
      <c r="B16" s="72">
        <v>46142.2916666667</v>
      </c>
      <c r="C16" s="63" t="s">
        <v>27</v>
      </c>
      <c r="D16" s="63" t="s">
        <v>35</v>
      </c>
      <c r="E16" s="63" t="s">
        <v>38</v>
      </c>
      <c r="F16" s="63">
        <v>0</v>
      </c>
    </row>
    <row r="17">
      <c r="B17" s="72">
        <v>46142.2916666667</v>
      </c>
      <c r="C17" s="63" t="s">
        <v>27</v>
      </c>
      <c r="D17" s="63" t="s">
        <v>32</v>
      </c>
      <c r="E17" s="63" t="s">
        <v>38</v>
      </c>
      <c r="F17" s="63">
        <v>0</v>
      </c>
    </row>
    <row r="18">
      <c r="B18" s="72">
        <v>46142.2916666667</v>
      </c>
      <c r="C18" s="63" t="s">
        <v>25</v>
      </c>
      <c r="D18" s="63" t="s">
        <v>30</v>
      </c>
      <c r="E18" s="63" t="s">
        <v>42</v>
      </c>
      <c r="F18" s="63">
        <v>0</v>
      </c>
    </row>
    <row r="19">
      <c r="B19" s="72">
        <v>46142.2916666667</v>
      </c>
      <c r="C19" s="63" t="s">
        <v>25</v>
      </c>
      <c r="D19" s="63" t="s">
        <v>31</v>
      </c>
      <c r="E19" s="63" t="s">
        <v>42</v>
      </c>
      <c r="F19" s="63">
        <v>3</v>
      </c>
    </row>
    <row r="20">
      <c r="B20" s="72">
        <v>46142.2916666667</v>
      </c>
      <c r="C20" s="63" t="s">
        <v>25</v>
      </c>
      <c r="D20" s="63" t="s">
        <v>32</v>
      </c>
      <c r="E20" s="63" t="s">
        <v>42</v>
      </c>
      <c r="F20" s="63">
        <v>0</v>
      </c>
    </row>
    <row r="21">
      <c r="B21" s="72">
        <v>46142.2916666667</v>
      </c>
      <c r="C21" s="63" t="s">
        <v>26</v>
      </c>
      <c r="D21" s="63" t="s">
        <v>30</v>
      </c>
      <c r="E21" s="63" t="s">
        <v>42</v>
      </c>
      <c r="F21" s="63">
        <v>0</v>
      </c>
    </row>
    <row r="22">
      <c r="B22" s="72">
        <v>46142.2916666667</v>
      </c>
      <c r="C22" s="63" t="s">
        <v>26</v>
      </c>
      <c r="D22" s="63" t="s">
        <v>35</v>
      </c>
      <c r="E22" s="63" t="s">
        <v>42</v>
      </c>
      <c r="F22" s="63">
        <v>0</v>
      </c>
    </row>
    <row r="23">
      <c r="B23" s="72">
        <v>46142.2916666667</v>
      </c>
      <c r="C23" s="63" t="s">
        <v>26</v>
      </c>
      <c r="D23" s="63" t="s">
        <v>32</v>
      </c>
      <c r="E23" s="63" t="s">
        <v>42</v>
      </c>
      <c r="F23" s="63">
        <v>0</v>
      </c>
    </row>
    <row r="24">
      <c r="B24" s="72">
        <v>46142.2916666667</v>
      </c>
      <c r="C24" s="63" t="s">
        <v>27</v>
      </c>
      <c r="D24" s="63" t="s">
        <v>31</v>
      </c>
      <c r="E24" s="63" t="s">
        <v>42</v>
      </c>
      <c r="F24" s="63">
        <v>3</v>
      </c>
    </row>
    <row r="25">
      <c r="B25" s="72">
        <v>46142.2916666667</v>
      </c>
      <c r="C25" s="63" t="s">
        <v>27</v>
      </c>
      <c r="D25" s="63" t="s">
        <v>35</v>
      </c>
      <c r="E25" s="63" t="s">
        <v>42</v>
      </c>
      <c r="F25" s="63">
        <v>0</v>
      </c>
    </row>
    <row r="26">
      <c r="B26" s="72">
        <v>46142.2916666667</v>
      </c>
      <c r="C26" s="63" t="s">
        <v>27</v>
      </c>
      <c r="D26" s="63" t="s">
        <v>32</v>
      </c>
      <c r="E26" s="63" t="s">
        <v>42</v>
      </c>
      <c r="F26" s="63">
        <v>0</v>
      </c>
    </row>
    <row r="27">
      <c r="B27" s="72">
        <v>46142.2916666667</v>
      </c>
      <c r="C27" s="63" t="s">
        <v>25</v>
      </c>
      <c r="D27" s="63" t="s">
        <v>30</v>
      </c>
      <c r="E27" s="63" t="s">
        <v>44</v>
      </c>
      <c r="F27" s="63">
        <v>0</v>
      </c>
    </row>
    <row r="28">
      <c r="B28" s="72">
        <v>46142.2916666667</v>
      </c>
      <c r="C28" s="63" t="s">
        <v>25</v>
      </c>
      <c r="D28" s="63" t="s">
        <v>31</v>
      </c>
      <c r="E28" s="63" t="s">
        <v>44</v>
      </c>
      <c r="F28" s="63">
        <v>0</v>
      </c>
    </row>
    <row r="29">
      <c r="B29" s="72">
        <v>46142.2916666667</v>
      </c>
      <c r="C29" s="63" t="s">
        <v>25</v>
      </c>
      <c r="D29" s="63" t="s">
        <v>32</v>
      </c>
      <c r="E29" s="63" t="s">
        <v>44</v>
      </c>
      <c r="F29" s="63">
        <v>0</v>
      </c>
    </row>
    <row r="30">
      <c r="B30" s="72">
        <v>46142.2916666667</v>
      </c>
      <c r="C30" s="63" t="s">
        <v>26</v>
      </c>
      <c r="D30" s="63" t="s">
        <v>30</v>
      </c>
      <c r="E30" s="63" t="s">
        <v>44</v>
      </c>
      <c r="F30" s="63">
        <v>0</v>
      </c>
    </row>
    <row r="31">
      <c r="B31" s="72">
        <v>46142.2916666667</v>
      </c>
      <c r="C31" s="63" t="s">
        <v>26</v>
      </c>
      <c r="D31" s="63" t="s">
        <v>35</v>
      </c>
      <c r="E31" s="63" t="s">
        <v>44</v>
      </c>
      <c r="F31" s="63">
        <v>0</v>
      </c>
    </row>
    <row r="32">
      <c r="B32" s="72">
        <v>46142.2916666667</v>
      </c>
      <c r="C32" s="63" t="s">
        <v>26</v>
      </c>
      <c r="D32" s="63" t="s">
        <v>32</v>
      </c>
      <c r="E32" s="63" t="s">
        <v>44</v>
      </c>
      <c r="F32" s="63">
        <v>0</v>
      </c>
    </row>
    <row r="33">
      <c r="B33" s="72">
        <v>46142.2916666667</v>
      </c>
      <c r="C33" s="63" t="s">
        <v>27</v>
      </c>
      <c r="D33" s="63" t="s">
        <v>31</v>
      </c>
      <c r="E33" s="63" t="s">
        <v>44</v>
      </c>
      <c r="F33" s="63">
        <v>0</v>
      </c>
    </row>
    <row r="34">
      <c r="B34" s="72">
        <v>46142.2916666667</v>
      </c>
      <c r="C34" s="63" t="s">
        <v>27</v>
      </c>
      <c r="D34" s="63" t="s">
        <v>35</v>
      </c>
      <c r="E34" s="63" t="s">
        <v>44</v>
      </c>
      <c r="F34" s="63">
        <v>0</v>
      </c>
    </row>
    <row r="35">
      <c r="B35" s="72">
        <v>46142.2916666667</v>
      </c>
      <c r="C35" s="63" t="s">
        <v>27</v>
      </c>
      <c r="D35" s="63" t="s">
        <v>32</v>
      </c>
      <c r="E35" s="63" t="s">
        <v>44</v>
      </c>
      <c r="F35" s="63">
        <v>0</v>
      </c>
    </row>
    <row r="36">
      <c r="B36" s="72">
        <v>46142.3020833333</v>
      </c>
      <c r="C36" s="63" t="s">
        <v>25</v>
      </c>
      <c r="D36" s="63" t="s">
        <v>30</v>
      </c>
      <c r="E36" s="63" t="s">
        <v>38</v>
      </c>
      <c r="F36" s="63">
        <v>2</v>
      </c>
    </row>
    <row r="37">
      <c r="B37" s="72">
        <v>46142.3020833333</v>
      </c>
      <c r="C37" s="63" t="s">
        <v>25</v>
      </c>
      <c r="D37" s="63" t="s">
        <v>31</v>
      </c>
      <c r="E37" s="63" t="s">
        <v>38</v>
      </c>
      <c r="F37" s="63">
        <v>81</v>
      </c>
    </row>
    <row r="38">
      <c r="B38" s="72">
        <v>46142.3020833333</v>
      </c>
      <c r="C38" s="63" t="s">
        <v>25</v>
      </c>
      <c r="D38" s="63" t="s">
        <v>32</v>
      </c>
      <c r="E38" s="63" t="s">
        <v>38</v>
      </c>
      <c r="F38" s="63">
        <v>0</v>
      </c>
    </row>
    <row r="39">
      <c r="B39" s="72">
        <v>46142.3020833333</v>
      </c>
      <c r="C39" s="63" t="s">
        <v>26</v>
      </c>
      <c r="D39" s="63" t="s">
        <v>30</v>
      </c>
      <c r="E39" s="63" t="s">
        <v>38</v>
      </c>
      <c r="F39" s="63">
        <v>0</v>
      </c>
    </row>
    <row r="40">
      <c r="B40" s="72">
        <v>46142.3020833333</v>
      </c>
      <c r="C40" s="63" t="s">
        <v>26</v>
      </c>
      <c r="D40" s="63" t="s">
        <v>35</v>
      </c>
      <c r="E40" s="63" t="s">
        <v>38</v>
      </c>
      <c r="F40" s="63">
        <v>9</v>
      </c>
    </row>
    <row r="41">
      <c r="B41" s="72">
        <v>46142.3020833333</v>
      </c>
      <c r="C41" s="63" t="s">
        <v>26</v>
      </c>
      <c r="D41" s="63" t="s">
        <v>32</v>
      </c>
      <c r="E41" s="63" t="s">
        <v>38</v>
      </c>
      <c r="F41" s="63">
        <v>0</v>
      </c>
    </row>
    <row r="42">
      <c r="B42" s="72">
        <v>46142.3020833333</v>
      </c>
      <c r="C42" s="63" t="s">
        <v>27</v>
      </c>
      <c r="D42" s="63" t="s">
        <v>31</v>
      </c>
      <c r="E42" s="63" t="s">
        <v>38</v>
      </c>
      <c r="F42" s="63">
        <v>111</v>
      </c>
    </row>
    <row r="43">
      <c r="B43" s="72">
        <v>46142.3020833333</v>
      </c>
      <c r="C43" s="63" t="s">
        <v>27</v>
      </c>
      <c r="D43" s="63" t="s">
        <v>35</v>
      </c>
      <c r="E43" s="63" t="s">
        <v>38</v>
      </c>
      <c r="F43" s="63">
        <v>0</v>
      </c>
    </row>
    <row r="44">
      <c r="B44" s="72">
        <v>46142.3020833333</v>
      </c>
      <c r="C44" s="63" t="s">
        <v>27</v>
      </c>
      <c r="D44" s="63" t="s">
        <v>32</v>
      </c>
      <c r="E44" s="63" t="s">
        <v>38</v>
      </c>
      <c r="F44" s="63">
        <v>0</v>
      </c>
    </row>
    <row r="45">
      <c r="B45" s="72">
        <v>46142.3020833333</v>
      </c>
      <c r="C45" s="63" t="s">
        <v>25</v>
      </c>
      <c r="D45" s="63" t="s">
        <v>30</v>
      </c>
      <c r="E45" s="63" t="s">
        <v>42</v>
      </c>
      <c r="F45" s="63">
        <v>0</v>
      </c>
    </row>
    <row r="46">
      <c r="B46" s="72">
        <v>46142.3020833333</v>
      </c>
      <c r="C46" s="63" t="s">
        <v>25</v>
      </c>
      <c r="D46" s="63" t="s">
        <v>31</v>
      </c>
      <c r="E46" s="63" t="s">
        <v>42</v>
      </c>
      <c r="F46" s="63">
        <v>1</v>
      </c>
    </row>
    <row r="47">
      <c r="B47" s="72">
        <v>46142.3020833333</v>
      </c>
      <c r="C47" s="63" t="s">
        <v>25</v>
      </c>
      <c r="D47" s="63" t="s">
        <v>32</v>
      </c>
      <c r="E47" s="63" t="s">
        <v>42</v>
      </c>
      <c r="F47" s="63">
        <v>0</v>
      </c>
    </row>
    <row r="48">
      <c r="B48" s="72">
        <v>46142.3020833333</v>
      </c>
      <c r="C48" s="63" t="s">
        <v>26</v>
      </c>
      <c r="D48" s="63" t="s">
        <v>30</v>
      </c>
      <c r="E48" s="63" t="s">
        <v>42</v>
      </c>
      <c r="F48" s="63">
        <v>0</v>
      </c>
    </row>
    <row r="49">
      <c r="B49" s="72">
        <v>46142.3020833333</v>
      </c>
      <c r="C49" s="63" t="s">
        <v>26</v>
      </c>
      <c r="D49" s="63" t="s">
        <v>35</v>
      </c>
      <c r="E49" s="63" t="s">
        <v>42</v>
      </c>
      <c r="F49" s="63">
        <v>0</v>
      </c>
    </row>
    <row r="50">
      <c r="B50" s="72">
        <v>46142.3020833333</v>
      </c>
      <c r="C50" s="63" t="s">
        <v>26</v>
      </c>
      <c r="D50" s="63" t="s">
        <v>32</v>
      </c>
      <c r="E50" s="63" t="s">
        <v>42</v>
      </c>
      <c r="F50" s="63">
        <v>0</v>
      </c>
    </row>
    <row r="51">
      <c r="B51" s="72">
        <v>46142.3020833333</v>
      </c>
      <c r="C51" s="63" t="s">
        <v>27</v>
      </c>
      <c r="D51" s="63" t="s">
        <v>31</v>
      </c>
      <c r="E51" s="63" t="s">
        <v>42</v>
      </c>
      <c r="F51" s="63">
        <v>1</v>
      </c>
    </row>
    <row r="52">
      <c r="B52" s="72">
        <v>46142.3020833333</v>
      </c>
      <c r="C52" s="63" t="s">
        <v>27</v>
      </c>
      <c r="D52" s="63" t="s">
        <v>35</v>
      </c>
      <c r="E52" s="63" t="s">
        <v>42</v>
      </c>
      <c r="F52" s="63">
        <v>0</v>
      </c>
    </row>
    <row r="53">
      <c r="B53" s="72">
        <v>46142.3020833333</v>
      </c>
      <c r="C53" s="63" t="s">
        <v>27</v>
      </c>
      <c r="D53" s="63" t="s">
        <v>32</v>
      </c>
      <c r="E53" s="63" t="s">
        <v>42</v>
      </c>
      <c r="F53" s="63">
        <v>0</v>
      </c>
    </row>
    <row r="54">
      <c r="B54" s="72">
        <v>46142.3020833333</v>
      </c>
      <c r="C54" s="63" t="s">
        <v>25</v>
      </c>
      <c r="D54" s="63" t="s">
        <v>30</v>
      </c>
      <c r="E54" s="63" t="s">
        <v>44</v>
      </c>
      <c r="F54" s="63">
        <v>0</v>
      </c>
    </row>
    <row r="55">
      <c r="B55" s="72">
        <v>46142.3020833333</v>
      </c>
      <c r="C55" s="63" t="s">
        <v>25</v>
      </c>
      <c r="D55" s="63" t="s">
        <v>31</v>
      </c>
      <c r="E55" s="63" t="s">
        <v>44</v>
      </c>
      <c r="F55" s="63">
        <v>1</v>
      </c>
    </row>
    <row r="56">
      <c r="B56" s="72">
        <v>46142.3020833333</v>
      </c>
      <c r="C56" s="63" t="s">
        <v>25</v>
      </c>
      <c r="D56" s="63" t="s">
        <v>32</v>
      </c>
      <c r="E56" s="63" t="s">
        <v>44</v>
      </c>
      <c r="F56" s="63">
        <v>0</v>
      </c>
    </row>
    <row r="57">
      <c r="B57" s="72">
        <v>46142.3020833333</v>
      </c>
      <c r="C57" s="63" t="s">
        <v>26</v>
      </c>
      <c r="D57" s="63" t="s">
        <v>30</v>
      </c>
      <c r="E57" s="63" t="s">
        <v>44</v>
      </c>
      <c r="F57" s="63">
        <v>0</v>
      </c>
    </row>
    <row r="58">
      <c r="B58" s="72">
        <v>46142.3020833333</v>
      </c>
      <c r="C58" s="63" t="s">
        <v>26</v>
      </c>
      <c r="D58" s="63" t="s">
        <v>35</v>
      </c>
      <c r="E58" s="63" t="s">
        <v>44</v>
      </c>
      <c r="F58" s="63">
        <v>0</v>
      </c>
    </row>
    <row r="59">
      <c r="B59" s="72">
        <v>46142.3020833333</v>
      </c>
      <c r="C59" s="63" t="s">
        <v>26</v>
      </c>
      <c r="D59" s="63" t="s">
        <v>32</v>
      </c>
      <c r="E59" s="63" t="s">
        <v>44</v>
      </c>
      <c r="F59" s="63">
        <v>0</v>
      </c>
    </row>
    <row r="60">
      <c r="B60" s="72">
        <v>46142.3020833333</v>
      </c>
      <c r="C60" s="63" t="s">
        <v>27</v>
      </c>
      <c r="D60" s="63" t="s">
        <v>31</v>
      </c>
      <c r="E60" s="63" t="s">
        <v>44</v>
      </c>
      <c r="F60" s="63">
        <v>2</v>
      </c>
    </row>
    <row r="61">
      <c r="B61" s="72">
        <v>46142.3020833333</v>
      </c>
      <c r="C61" s="63" t="s">
        <v>27</v>
      </c>
      <c r="D61" s="63" t="s">
        <v>35</v>
      </c>
      <c r="E61" s="63" t="s">
        <v>44</v>
      </c>
      <c r="F61" s="63">
        <v>0</v>
      </c>
    </row>
    <row r="62">
      <c r="B62" s="72">
        <v>46142.3020833333</v>
      </c>
      <c r="C62" s="63" t="s">
        <v>27</v>
      </c>
      <c r="D62" s="63" t="s">
        <v>32</v>
      </c>
      <c r="E62" s="63" t="s">
        <v>44</v>
      </c>
      <c r="F62" s="63">
        <v>0</v>
      </c>
    </row>
    <row r="63">
      <c r="B63" s="72">
        <v>46142.3125</v>
      </c>
      <c r="C63" s="63" t="s">
        <v>25</v>
      </c>
      <c r="D63" s="63" t="s">
        <v>30</v>
      </c>
      <c r="E63" s="63" t="s">
        <v>38</v>
      </c>
      <c r="F63" s="63">
        <v>1</v>
      </c>
    </row>
    <row r="64">
      <c r="B64" s="72">
        <v>46142.3125</v>
      </c>
      <c r="C64" s="63" t="s">
        <v>25</v>
      </c>
      <c r="D64" s="63" t="s">
        <v>31</v>
      </c>
      <c r="E64" s="63" t="s">
        <v>38</v>
      </c>
      <c r="F64" s="63">
        <v>85</v>
      </c>
    </row>
    <row r="65">
      <c r="B65" s="72">
        <v>46142.3125</v>
      </c>
      <c r="C65" s="63" t="s">
        <v>25</v>
      </c>
      <c r="D65" s="63" t="s">
        <v>32</v>
      </c>
      <c r="E65" s="63" t="s">
        <v>38</v>
      </c>
      <c r="F65" s="63">
        <v>0</v>
      </c>
    </row>
    <row r="66">
      <c r="B66" s="72">
        <v>46142.3125</v>
      </c>
      <c r="C66" s="63" t="s">
        <v>26</v>
      </c>
      <c r="D66" s="63" t="s">
        <v>30</v>
      </c>
      <c r="E66" s="63" t="s">
        <v>38</v>
      </c>
      <c r="F66" s="63">
        <v>0</v>
      </c>
    </row>
    <row r="67">
      <c r="B67" s="72">
        <v>46142.3125</v>
      </c>
      <c r="C67" s="63" t="s">
        <v>26</v>
      </c>
      <c r="D67" s="63" t="s">
        <v>35</v>
      </c>
      <c r="E67" s="63" t="s">
        <v>38</v>
      </c>
      <c r="F67" s="63">
        <v>6</v>
      </c>
    </row>
    <row r="68">
      <c r="B68" s="72">
        <v>46142.3125</v>
      </c>
      <c r="C68" s="63" t="s">
        <v>26</v>
      </c>
      <c r="D68" s="63" t="s">
        <v>32</v>
      </c>
      <c r="E68" s="63" t="s">
        <v>38</v>
      </c>
      <c r="F68" s="63">
        <v>0</v>
      </c>
    </row>
    <row r="69">
      <c r="B69" s="72">
        <v>46142.3125</v>
      </c>
      <c r="C69" s="63" t="s">
        <v>27</v>
      </c>
      <c r="D69" s="63" t="s">
        <v>31</v>
      </c>
      <c r="E69" s="63" t="s">
        <v>38</v>
      </c>
      <c r="F69" s="63">
        <v>131</v>
      </c>
    </row>
    <row r="70">
      <c r="B70" s="72">
        <v>46142.3125</v>
      </c>
      <c r="C70" s="63" t="s">
        <v>27</v>
      </c>
      <c r="D70" s="63" t="s">
        <v>35</v>
      </c>
      <c r="E70" s="63" t="s">
        <v>38</v>
      </c>
      <c r="F70" s="63">
        <v>0</v>
      </c>
    </row>
    <row r="71">
      <c r="B71" s="72">
        <v>46142.3125</v>
      </c>
      <c r="C71" s="63" t="s">
        <v>27</v>
      </c>
      <c r="D71" s="63" t="s">
        <v>32</v>
      </c>
      <c r="E71" s="63" t="s">
        <v>38</v>
      </c>
      <c r="F71" s="63">
        <v>0</v>
      </c>
    </row>
    <row r="72">
      <c r="B72" s="72">
        <v>46142.3125</v>
      </c>
      <c r="C72" s="63" t="s">
        <v>25</v>
      </c>
      <c r="D72" s="63" t="s">
        <v>30</v>
      </c>
      <c r="E72" s="63" t="s">
        <v>42</v>
      </c>
      <c r="F72" s="63">
        <v>0</v>
      </c>
    </row>
    <row r="73">
      <c r="B73" s="72">
        <v>46142.3125</v>
      </c>
      <c r="C73" s="63" t="s">
        <v>25</v>
      </c>
      <c r="D73" s="63" t="s">
        <v>31</v>
      </c>
      <c r="E73" s="63" t="s">
        <v>42</v>
      </c>
      <c r="F73" s="63">
        <v>0</v>
      </c>
    </row>
    <row r="74">
      <c r="B74" s="72">
        <v>46142.3125</v>
      </c>
      <c r="C74" s="63" t="s">
        <v>25</v>
      </c>
      <c r="D74" s="63" t="s">
        <v>32</v>
      </c>
      <c r="E74" s="63" t="s">
        <v>42</v>
      </c>
      <c r="F74" s="63">
        <v>0</v>
      </c>
    </row>
    <row r="75">
      <c r="B75" s="72">
        <v>46142.3125</v>
      </c>
      <c r="C75" s="63" t="s">
        <v>26</v>
      </c>
      <c r="D75" s="63" t="s">
        <v>30</v>
      </c>
      <c r="E75" s="63" t="s">
        <v>42</v>
      </c>
      <c r="F75" s="63">
        <v>0</v>
      </c>
    </row>
    <row r="76">
      <c r="B76" s="72">
        <v>46142.3125</v>
      </c>
      <c r="C76" s="63" t="s">
        <v>26</v>
      </c>
      <c r="D76" s="63" t="s">
        <v>35</v>
      </c>
      <c r="E76" s="63" t="s">
        <v>42</v>
      </c>
      <c r="F76" s="63">
        <v>0</v>
      </c>
    </row>
    <row r="77">
      <c r="B77" s="72">
        <v>46142.3125</v>
      </c>
      <c r="C77" s="63" t="s">
        <v>26</v>
      </c>
      <c r="D77" s="63" t="s">
        <v>32</v>
      </c>
      <c r="E77" s="63" t="s">
        <v>42</v>
      </c>
      <c r="F77" s="63">
        <v>0</v>
      </c>
    </row>
    <row r="78">
      <c r="B78" s="72">
        <v>46142.3125</v>
      </c>
      <c r="C78" s="63" t="s">
        <v>27</v>
      </c>
      <c r="D78" s="63" t="s">
        <v>31</v>
      </c>
      <c r="E78" s="63" t="s">
        <v>42</v>
      </c>
      <c r="F78" s="63">
        <v>3</v>
      </c>
    </row>
    <row r="79">
      <c r="B79" s="72">
        <v>46142.3125</v>
      </c>
      <c r="C79" s="63" t="s">
        <v>27</v>
      </c>
      <c r="D79" s="63" t="s">
        <v>35</v>
      </c>
      <c r="E79" s="63" t="s">
        <v>42</v>
      </c>
      <c r="F79" s="63">
        <v>0</v>
      </c>
    </row>
    <row r="80">
      <c r="B80" s="72">
        <v>46142.3125</v>
      </c>
      <c r="C80" s="63" t="s">
        <v>27</v>
      </c>
      <c r="D80" s="63" t="s">
        <v>32</v>
      </c>
      <c r="E80" s="63" t="s">
        <v>42</v>
      </c>
      <c r="F80" s="63">
        <v>0</v>
      </c>
    </row>
    <row r="81">
      <c r="B81" s="72">
        <v>46142.3125</v>
      </c>
      <c r="C81" s="63" t="s">
        <v>25</v>
      </c>
      <c r="D81" s="63" t="s">
        <v>30</v>
      </c>
      <c r="E81" s="63" t="s">
        <v>44</v>
      </c>
      <c r="F81" s="63">
        <v>0</v>
      </c>
    </row>
    <row r="82">
      <c r="B82" s="72">
        <v>46142.3125</v>
      </c>
      <c r="C82" s="63" t="s">
        <v>25</v>
      </c>
      <c r="D82" s="63" t="s">
        <v>31</v>
      </c>
      <c r="E82" s="63" t="s">
        <v>44</v>
      </c>
      <c r="F82" s="63">
        <v>3</v>
      </c>
    </row>
    <row r="83">
      <c r="B83" s="72">
        <v>46142.3125</v>
      </c>
      <c r="C83" s="63" t="s">
        <v>25</v>
      </c>
      <c r="D83" s="63" t="s">
        <v>32</v>
      </c>
      <c r="E83" s="63" t="s">
        <v>44</v>
      </c>
      <c r="F83" s="63">
        <v>0</v>
      </c>
    </row>
    <row r="84">
      <c r="B84" s="72">
        <v>46142.3125</v>
      </c>
      <c r="C84" s="63" t="s">
        <v>26</v>
      </c>
      <c r="D84" s="63" t="s">
        <v>30</v>
      </c>
      <c r="E84" s="63" t="s">
        <v>44</v>
      </c>
      <c r="F84" s="63">
        <v>0</v>
      </c>
    </row>
    <row r="85">
      <c r="B85" s="72">
        <v>46142.3125</v>
      </c>
      <c r="C85" s="63" t="s">
        <v>26</v>
      </c>
      <c r="D85" s="63" t="s">
        <v>35</v>
      </c>
      <c r="E85" s="63" t="s">
        <v>44</v>
      </c>
      <c r="F85" s="63">
        <v>0</v>
      </c>
    </row>
    <row r="86">
      <c r="B86" s="72">
        <v>46142.3125</v>
      </c>
      <c r="C86" s="63" t="s">
        <v>26</v>
      </c>
      <c r="D86" s="63" t="s">
        <v>32</v>
      </c>
      <c r="E86" s="63" t="s">
        <v>44</v>
      </c>
      <c r="F86" s="63">
        <v>0</v>
      </c>
    </row>
    <row r="87">
      <c r="B87" s="72">
        <v>46142.3125</v>
      </c>
      <c r="C87" s="63" t="s">
        <v>27</v>
      </c>
      <c r="D87" s="63" t="s">
        <v>31</v>
      </c>
      <c r="E87" s="63" t="s">
        <v>44</v>
      </c>
      <c r="F87" s="63">
        <v>2</v>
      </c>
    </row>
    <row r="88">
      <c r="B88" s="72">
        <v>46142.3125</v>
      </c>
      <c r="C88" s="63" t="s">
        <v>27</v>
      </c>
      <c r="D88" s="63" t="s">
        <v>35</v>
      </c>
      <c r="E88" s="63" t="s">
        <v>44</v>
      </c>
      <c r="F88" s="63">
        <v>0</v>
      </c>
    </row>
    <row r="89">
      <c r="B89" s="72">
        <v>46142.3125</v>
      </c>
      <c r="C89" s="63" t="s">
        <v>27</v>
      </c>
      <c r="D89" s="63" t="s">
        <v>32</v>
      </c>
      <c r="E89" s="63" t="s">
        <v>44</v>
      </c>
      <c r="F89" s="63">
        <v>0</v>
      </c>
    </row>
    <row r="90">
      <c r="B90" s="72">
        <v>46142.3229166667</v>
      </c>
      <c r="C90" s="63" t="s">
        <v>25</v>
      </c>
      <c r="D90" s="63" t="s">
        <v>30</v>
      </c>
      <c r="E90" s="63" t="s">
        <v>38</v>
      </c>
      <c r="F90" s="63">
        <v>4</v>
      </c>
    </row>
    <row r="91">
      <c r="B91" s="72">
        <v>46142.3229166667</v>
      </c>
      <c r="C91" s="63" t="s">
        <v>25</v>
      </c>
      <c r="D91" s="63" t="s">
        <v>31</v>
      </c>
      <c r="E91" s="63" t="s">
        <v>38</v>
      </c>
      <c r="F91" s="63">
        <v>72</v>
      </c>
    </row>
    <row r="92">
      <c r="B92" s="72">
        <v>46142.3229166667</v>
      </c>
      <c r="C92" s="63" t="s">
        <v>25</v>
      </c>
      <c r="D92" s="63" t="s">
        <v>32</v>
      </c>
      <c r="E92" s="63" t="s">
        <v>38</v>
      </c>
      <c r="F92" s="63">
        <v>0</v>
      </c>
    </row>
    <row r="93">
      <c r="B93" s="72">
        <v>46142.3229166667</v>
      </c>
      <c r="C93" s="63" t="s">
        <v>26</v>
      </c>
      <c r="D93" s="63" t="s">
        <v>30</v>
      </c>
      <c r="E93" s="63" t="s">
        <v>38</v>
      </c>
      <c r="F93" s="63">
        <v>0</v>
      </c>
    </row>
    <row r="94">
      <c r="B94" s="72">
        <v>46142.3229166667</v>
      </c>
      <c r="C94" s="63" t="s">
        <v>26</v>
      </c>
      <c r="D94" s="63" t="s">
        <v>35</v>
      </c>
      <c r="E94" s="63" t="s">
        <v>38</v>
      </c>
      <c r="F94" s="63">
        <v>3</v>
      </c>
    </row>
    <row r="95">
      <c r="B95" s="72">
        <v>46142.3229166667</v>
      </c>
      <c r="C95" s="63" t="s">
        <v>26</v>
      </c>
      <c r="D95" s="63" t="s">
        <v>32</v>
      </c>
      <c r="E95" s="63" t="s">
        <v>38</v>
      </c>
      <c r="F95" s="63">
        <v>0</v>
      </c>
    </row>
    <row r="96">
      <c r="B96" s="72">
        <v>46142.3229166667</v>
      </c>
      <c r="C96" s="63" t="s">
        <v>27</v>
      </c>
      <c r="D96" s="63" t="s">
        <v>31</v>
      </c>
      <c r="E96" s="63" t="s">
        <v>38</v>
      </c>
      <c r="F96" s="63">
        <v>112</v>
      </c>
    </row>
    <row r="97">
      <c r="B97" s="72">
        <v>46142.3229166667</v>
      </c>
      <c r="C97" s="63" t="s">
        <v>27</v>
      </c>
      <c r="D97" s="63" t="s">
        <v>35</v>
      </c>
      <c r="E97" s="63" t="s">
        <v>38</v>
      </c>
      <c r="F97" s="63">
        <v>0</v>
      </c>
    </row>
    <row r="98">
      <c r="B98" s="72">
        <v>46142.3229166667</v>
      </c>
      <c r="C98" s="63" t="s">
        <v>27</v>
      </c>
      <c r="D98" s="63" t="s">
        <v>32</v>
      </c>
      <c r="E98" s="63" t="s">
        <v>38</v>
      </c>
      <c r="F98" s="63">
        <v>0</v>
      </c>
    </row>
    <row r="99">
      <c r="B99" s="72">
        <v>46142.3229166667</v>
      </c>
      <c r="C99" s="63" t="s">
        <v>25</v>
      </c>
      <c r="D99" s="63" t="s">
        <v>30</v>
      </c>
      <c r="E99" s="63" t="s">
        <v>42</v>
      </c>
      <c r="F99" s="63">
        <v>0</v>
      </c>
    </row>
    <row r="100">
      <c r="B100" s="72">
        <v>46142.3229166667</v>
      </c>
      <c r="C100" s="63" t="s">
        <v>25</v>
      </c>
      <c r="D100" s="63" t="s">
        <v>31</v>
      </c>
      <c r="E100" s="63" t="s">
        <v>42</v>
      </c>
      <c r="F100" s="63">
        <v>3</v>
      </c>
    </row>
    <row r="101">
      <c r="B101" s="72">
        <v>46142.3229166667</v>
      </c>
      <c r="C101" s="63" t="s">
        <v>25</v>
      </c>
      <c r="D101" s="63" t="s">
        <v>32</v>
      </c>
      <c r="E101" s="63" t="s">
        <v>42</v>
      </c>
      <c r="F101" s="63">
        <v>0</v>
      </c>
    </row>
    <row r="102">
      <c r="B102" s="72">
        <v>46142.3229166667</v>
      </c>
      <c r="C102" s="63" t="s">
        <v>26</v>
      </c>
      <c r="D102" s="63" t="s">
        <v>30</v>
      </c>
      <c r="E102" s="63" t="s">
        <v>42</v>
      </c>
      <c r="F102" s="63">
        <v>0</v>
      </c>
    </row>
    <row r="103">
      <c r="B103" s="72">
        <v>46142.3229166667</v>
      </c>
      <c r="C103" s="63" t="s">
        <v>26</v>
      </c>
      <c r="D103" s="63" t="s">
        <v>35</v>
      </c>
      <c r="E103" s="63" t="s">
        <v>42</v>
      </c>
      <c r="F103" s="63">
        <v>0</v>
      </c>
    </row>
    <row r="104">
      <c r="B104" s="72">
        <v>46142.3229166667</v>
      </c>
      <c r="C104" s="63" t="s">
        <v>26</v>
      </c>
      <c r="D104" s="63" t="s">
        <v>32</v>
      </c>
      <c r="E104" s="63" t="s">
        <v>42</v>
      </c>
      <c r="F104" s="63">
        <v>0</v>
      </c>
    </row>
    <row r="105">
      <c r="B105" s="72">
        <v>46142.3229166667</v>
      </c>
      <c r="C105" s="63" t="s">
        <v>27</v>
      </c>
      <c r="D105" s="63" t="s">
        <v>31</v>
      </c>
      <c r="E105" s="63" t="s">
        <v>42</v>
      </c>
      <c r="F105" s="63">
        <v>5</v>
      </c>
    </row>
    <row r="106">
      <c r="B106" s="72">
        <v>46142.3229166667</v>
      </c>
      <c r="C106" s="63" t="s">
        <v>27</v>
      </c>
      <c r="D106" s="63" t="s">
        <v>35</v>
      </c>
      <c r="E106" s="63" t="s">
        <v>42</v>
      </c>
      <c r="F106" s="63">
        <v>0</v>
      </c>
    </row>
    <row r="107">
      <c r="B107" s="72">
        <v>46142.3229166667</v>
      </c>
      <c r="C107" s="63" t="s">
        <v>27</v>
      </c>
      <c r="D107" s="63" t="s">
        <v>32</v>
      </c>
      <c r="E107" s="63" t="s">
        <v>42</v>
      </c>
      <c r="F107" s="63">
        <v>0</v>
      </c>
    </row>
    <row r="108">
      <c r="B108" s="72">
        <v>46142.3229166667</v>
      </c>
      <c r="C108" s="63" t="s">
        <v>25</v>
      </c>
      <c r="D108" s="63" t="s">
        <v>30</v>
      </c>
      <c r="E108" s="63" t="s">
        <v>44</v>
      </c>
      <c r="F108" s="63">
        <v>0</v>
      </c>
    </row>
    <row r="109">
      <c r="B109" s="72">
        <v>46142.3229166667</v>
      </c>
      <c r="C109" s="63" t="s">
        <v>25</v>
      </c>
      <c r="D109" s="63" t="s">
        <v>31</v>
      </c>
      <c r="E109" s="63" t="s">
        <v>44</v>
      </c>
      <c r="F109" s="63">
        <v>6</v>
      </c>
    </row>
    <row r="110">
      <c r="B110" s="72">
        <v>46142.3229166667</v>
      </c>
      <c r="C110" s="63" t="s">
        <v>25</v>
      </c>
      <c r="D110" s="63" t="s">
        <v>32</v>
      </c>
      <c r="E110" s="63" t="s">
        <v>44</v>
      </c>
      <c r="F110" s="63">
        <v>0</v>
      </c>
    </row>
    <row r="111">
      <c r="B111" s="72">
        <v>46142.3229166667</v>
      </c>
      <c r="C111" s="63" t="s">
        <v>26</v>
      </c>
      <c r="D111" s="63" t="s">
        <v>30</v>
      </c>
      <c r="E111" s="63" t="s">
        <v>44</v>
      </c>
      <c r="F111" s="63">
        <v>0</v>
      </c>
    </row>
    <row r="112">
      <c r="B112" s="72">
        <v>46142.3229166667</v>
      </c>
      <c r="C112" s="63" t="s">
        <v>26</v>
      </c>
      <c r="D112" s="63" t="s">
        <v>35</v>
      </c>
      <c r="E112" s="63" t="s">
        <v>44</v>
      </c>
      <c r="F112" s="63">
        <v>0</v>
      </c>
    </row>
    <row r="113">
      <c r="B113" s="72">
        <v>46142.3229166667</v>
      </c>
      <c r="C113" s="63" t="s">
        <v>26</v>
      </c>
      <c r="D113" s="63" t="s">
        <v>32</v>
      </c>
      <c r="E113" s="63" t="s">
        <v>44</v>
      </c>
      <c r="F113" s="63">
        <v>0</v>
      </c>
    </row>
    <row r="114">
      <c r="B114" s="72">
        <v>46142.3229166667</v>
      </c>
      <c r="C114" s="63" t="s">
        <v>27</v>
      </c>
      <c r="D114" s="63" t="s">
        <v>31</v>
      </c>
      <c r="E114" s="63" t="s">
        <v>44</v>
      </c>
      <c r="F114" s="63">
        <v>5</v>
      </c>
    </row>
    <row r="115">
      <c r="B115" s="72">
        <v>46142.3229166667</v>
      </c>
      <c r="C115" s="63" t="s">
        <v>27</v>
      </c>
      <c r="D115" s="63" t="s">
        <v>35</v>
      </c>
      <c r="E115" s="63" t="s">
        <v>44</v>
      </c>
      <c r="F115" s="63">
        <v>0</v>
      </c>
    </row>
    <row r="116">
      <c r="B116" s="72">
        <v>46142.3229166667</v>
      </c>
      <c r="C116" s="63" t="s">
        <v>27</v>
      </c>
      <c r="D116" s="63" t="s">
        <v>32</v>
      </c>
      <c r="E116" s="63" t="s">
        <v>44</v>
      </c>
      <c r="F116" s="63">
        <v>0</v>
      </c>
    </row>
    <row r="117">
      <c r="B117" s="72">
        <v>46142.3333333333</v>
      </c>
      <c r="C117" s="63" t="s">
        <v>25</v>
      </c>
      <c r="D117" s="63" t="s">
        <v>30</v>
      </c>
      <c r="E117" s="63" t="s">
        <v>38</v>
      </c>
      <c r="F117" s="63">
        <v>2</v>
      </c>
    </row>
    <row r="118">
      <c r="B118" s="72">
        <v>46142.3333333333</v>
      </c>
      <c r="C118" s="63" t="s">
        <v>25</v>
      </c>
      <c r="D118" s="63" t="s">
        <v>31</v>
      </c>
      <c r="E118" s="63" t="s">
        <v>38</v>
      </c>
      <c r="F118" s="63">
        <v>67</v>
      </c>
    </row>
    <row r="119">
      <c r="B119" s="72">
        <v>46142.3333333333</v>
      </c>
      <c r="C119" s="63" t="s">
        <v>25</v>
      </c>
      <c r="D119" s="63" t="s">
        <v>32</v>
      </c>
      <c r="E119" s="63" t="s">
        <v>38</v>
      </c>
      <c r="F119" s="63">
        <v>0</v>
      </c>
    </row>
    <row r="120">
      <c r="B120" s="72">
        <v>46142.3333333333</v>
      </c>
      <c r="C120" s="63" t="s">
        <v>26</v>
      </c>
      <c r="D120" s="63" t="s">
        <v>30</v>
      </c>
      <c r="E120" s="63" t="s">
        <v>38</v>
      </c>
      <c r="F120" s="63">
        <v>0</v>
      </c>
    </row>
    <row r="121">
      <c r="B121" s="72">
        <v>46142.3333333333</v>
      </c>
      <c r="C121" s="63" t="s">
        <v>26</v>
      </c>
      <c r="D121" s="63" t="s">
        <v>35</v>
      </c>
      <c r="E121" s="63" t="s">
        <v>38</v>
      </c>
      <c r="F121" s="63">
        <v>6</v>
      </c>
    </row>
    <row r="122">
      <c r="B122" s="72">
        <v>46142.3333333333</v>
      </c>
      <c r="C122" s="63" t="s">
        <v>26</v>
      </c>
      <c r="D122" s="63" t="s">
        <v>32</v>
      </c>
      <c r="E122" s="63" t="s">
        <v>38</v>
      </c>
      <c r="F122" s="63">
        <v>0</v>
      </c>
    </row>
    <row r="123">
      <c r="B123" s="72">
        <v>46142.3333333333</v>
      </c>
      <c r="C123" s="63" t="s">
        <v>27</v>
      </c>
      <c r="D123" s="63" t="s">
        <v>31</v>
      </c>
      <c r="E123" s="63" t="s">
        <v>38</v>
      </c>
      <c r="F123" s="63">
        <v>88</v>
      </c>
    </row>
    <row r="124">
      <c r="B124" s="72">
        <v>46142.3333333333</v>
      </c>
      <c r="C124" s="63" t="s">
        <v>27</v>
      </c>
      <c r="D124" s="63" t="s">
        <v>35</v>
      </c>
      <c r="E124" s="63" t="s">
        <v>38</v>
      </c>
      <c r="F124" s="63">
        <v>1</v>
      </c>
    </row>
    <row r="125">
      <c r="B125" s="72">
        <v>46142.3333333333</v>
      </c>
      <c r="C125" s="63" t="s">
        <v>27</v>
      </c>
      <c r="D125" s="63" t="s">
        <v>32</v>
      </c>
      <c r="E125" s="63" t="s">
        <v>38</v>
      </c>
      <c r="F125" s="63">
        <v>0</v>
      </c>
    </row>
    <row r="126">
      <c r="B126" s="72">
        <v>46142.3333333333</v>
      </c>
      <c r="C126" s="63" t="s">
        <v>25</v>
      </c>
      <c r="D126" s="63" t="s">
        <v>30</v>
      </c>
      <c r="E126" s="63" t="s">
        <v>42</v>
      </c>
      <c r="F126" s="63">
        <v>0</v>
      </c>
    </row>
    <row r="127">
      <c r="B127" s="72">
        <v>46142.3333333333</v>
      </c>
      <c r="C127" s="63" t="s">
        <v>25</v>
      </c>
      <c r="D127" s="63" t="s">
        <v>31</v>
      </c>
      <c r="E127" s="63" t="s">
        <v>42</v>
      </c>
      <c r="F127" s="63">
        <v>6</v>
      </c>
    </row>
    <row r="128">
      <c r="B128" s="72">
        <v>46142.3333333333</v>
      </c>
      <c r="C128" s="63" t="s">
        <v>25</v>
      </c>
      <c r="D128" s="63" t="s">
        <v>32</v>
      </c>
      <c r="E128" s="63" t="s">
        <v>42</v>
      </c>
      <c r="F128" s="63">
        <v>0</v>
      </c>
    </row>
    <row r="129">
      <c r="B129" s="72">
        <v>46142.3333333333</v>
      </c>
      <c r="C129" s="63" t="s">
        <v>26</v>
      </c>
      <c r="D129" s="63" t="s">
        <v>30</v>
      </c>
      <c r="E129" s="63" t="s">
        <v>42</v>
      </c>
      <c r="F129" s="63">
        <v>0</v>
      </c>
    </row>
    <row r="130">
      <c r="B130" s="72">
        <v>46142.3333333333</v>
      </c>
      <c r="C130" s="63" t="s">
        <v>26</v>
      </c>
      <c r="D130" s="63" t="s">
        <v>35</v>
      </c>
      <c r="E130" s="63" t="s">
        <v>42</v>
      </c>
      <c r="F130" s="63">
        <v>0</v>
      </c>
    </row>
    <row r="131">
      <c r="B131" s="72">
        <v>46142.3333333333</v>
      </c>
      <c r="C131" s="63" t="s">
        <v>26</v>
      </c>
      <c r="D131" s="63" t="s">
        <v>32</v>
      </c>
      <c r="E131" s="63" t="s">
        <v>42</v>
      </c>
      <c r="F131" s="63">
        <v>0</v>
      </c>
    </row>
    <row r="132">
      <c r="B132" s="72">
        <v>46142.3333333333</v>
      </c>
      <c r="C132" s="63" t="s">
        <v>27</v>
      </c>
      <c r="D132" s="63" t="s">
        <v>31</v>
      </c>
      <c r="E132" s="63" t="s">
        <v>42</v>
      </c>
      <c r="F132" s="63">
        <v>1</v>
      </c>
    </row>
    <row r="133">
      <c r="B133" s="72">
        <v>46142.3333333333</v>
      </c>
      <c r="C133" s="63" t="s">
        <v>27</v>
      </c>
      <c r="D133" s="63" t="s">
        <v>35</v>
      </c>
      <c r="E133" s="63" t="s">
        <v>42</v>
      </c>
      <c r="F133" s="63">
        <v>0</v>
      </c>
    </row>
    <row r="134">
      <c r="B134" s="72">
        <v>46142.3333333333</v>
      </c>
      <c r="C134" s="63" t="s">
        <v>27</v>
      </c>
      <c r="D134" s="63" t="s">
        <v>32</v>
      </c>
      <c r="E134" s="63" t="s">
        <v>42</v>
      </c>
      <c r="F134" s="63">
        <v>0</v>
      </c>
    </row>
    <row r="135">
      <c r="B135" s="72">
        <v>46142.3333333333</v>
      </c>
      <c r="C135" s="63" t="s">
        <v>25</v>
      </c>
      <c r="D135" s="63" t="s">
        <v>30</v>
      </c>
      <c r="E135" s="63" t="s">
        <v>44</v>
      </c>
      <c r="F135" s="63">
        <v>0</v>
      </c>
    </row>
    <row r="136">
      <c r="B136" s="72">
        <v>46142.3333333333</v>
      </c>
      <c r="C136" s="63" t="s">
        <v>25</v>
      </c>
      <c r="D136" s="63" t="s">
        <v>31</v>
      </c>
      <c r="E136" s="63" t="s">
        <v>44</v>
      </c>
      <c r="F136" s="63">
        <v>8</v>
      </c>
    </row>
    <row r="137">
      <c r="B137" s="72">
        <v>46142.3333333333</v>
      </c>
      <c r="C137" s="63" t="s">
        <v>25</v>
      </c>
      <c r="D137" s="63" t="s">
        <v>32</v>
      </c>
      <c r="E137" s="63" t="s">
        <v>44</v>
      </c>
      <c r="F137" s="63">
        <v>0</v>
      </c>
    </row>
    <row r="138">
      <c r="B138" s="72">
        <v>46142.3333333333</v>
      </c>
      <c r="C138" s="63" t="s">
        <v>26</v>
      </c>
      <c r="D138" s="63" t="s">
        <v>30</v>
      </c>
      <c r="E138" s="63" t="s">
        <v>44</v>
      </c>
      <c r="F138" s="63">
        <v>0</v>
      </c>
    </row>
    <row r="139">
      <c r="B139" s="72">
        <v>46142.3333333333</v>
      </c>
      <c r="C139" s="63" t="s">
        <v>26</v>
      </c>
      <c r="D139" s="63" t="s">
        <v>35</v>
      </c>
      <c r="E139" s="63" t="s">
        <v>44</v>
      </c>
      <c r="F139" s="63">
        <v>0</v>
      </c>
    </row>
    <row r="140">
      <c r="B140" s="72">
        <v>46142.3333333333</v>
      </c>
      <c r="C140" s="63" t="s">
        <v>26</v>
      </c>
      <c r="D140" s="63" t="s">
        <v>32</v>
      </c>
      <c r="E140" s="63" t="s">
        <v>44</v>
      </c>
      <c r="F140" s="63">
        <v>0</v>
      </c>
    </row>
    <row r="141">
      <c r="B141" s="72">
        <v>46142.3333333333</v>
      </c>
      <c r="C141" s="63" t="s">
        <v>27</v>
      </c>
      <c r="D141" s="63" t="s">
        <v>31</v>
      </c>
      <c r="E141" s="63" t="s">
        <v>44</v>
      </c>
      <c r="F141" s="63">
        <v>2</v>
      </c>
    </row>
    <row r="142">
      <c r="B142" s="72">
        <v>46142.3333333333</v>
      </c>
      <c r="C142" s="63" t="s">
        <v>27</v>
      </c>
      <c r="D142" s="63" t="s">
        <v>35</v>
      </c>
      <c r="E142" s="63" t="s">
        <v>44</v>
      </c>
      <c r="F142" s="63">
        <v>0</v>
      </c>
    </row>
    <row r="143">
      <c r="B143" s="72">
        <v>46142.3333333333</v>
      </c>
      <c r="C143" s="63" t="s">
        <v>27</v>
      </c>
      <c r="D143" s="63" t="s">
        <v>32</v>
      </c>
      <c r="E143" s="63" t="s">
        <v>44</v>
      </c>
      <c r="F143" s="63">
        <v>0</v>
      </c>
    </row>
    <row r="144">
      <c r="B144" s="72">
        <v>46142.34375</v>
      </c>
      <c r="C144" s="63" t="s">
        <v>25</v>
      </c>
      <c r="D144" s="63" t="s">
        <v>30</v>
      </c>
      <c r="E144" s="63" t="s">
        <v>38</v>
      </c>
      <c r="F144" s="63">
        <v>2</v>
      </c>
    </row>
    <row r="145">
      <c r="B145" s="72">
        <v>46142.34375</v>
      </c>
      <c r="C145" s="63" t="s">
        <v>25</v>
      </c>
      <c r="D145" s="63" t="s">
        <v>31</v>
      </c>
      <c r="E145" s="63" t="s">
        <v>38</v>
      </c>
      <c r="F145" s="63">
        <v>69</v>
      </c>
    </row>
    <row r="146">
      <c r="B146" s="72">
        <v>46142.34375</v>
      </c>
      <c r="C146" s="63" t="s">
        <v>25</v>
      </c>
      <c r="D146" s="63" t="s">
        <v>32</v>
      </c>
      <c r="E146" s="63" t="s">
        <v>38</v>
      </c>
      <c r="F146" s="63">
        <v>0</v>
      </c>
    </row>
    <row r="147">
      <c r="B147" s="72">
        <v>46142.34375</v>
      </c>
      <c r="C147" s="63" t="s">
        <v>26</v>
      </c>
      <c r="D147" s="63" t="s">
        <v>30</v>
      </c>
      <c r="E147" s="63" t="s">
        <v>38</v>
      </c>
      <c r="F147" s="63">
        <v>0</v>
      </c>
    </row>
    <row r="148">
      <c r="B148" s="72">
        <v>46142.34375</v>
      </c>
      <c r="C148" s="63" t="s">
        <v>26</v>
      </c>
      <c r="D148" s="63" t="s">
        <v>35</v>
      </c>
      <c r="E148" s="63" t="s">
        <v>38</v>
      </c>
      <c r="F148" s="63">
        <v>6</v>
      </c>
    </row>
    <row r="149">
      <c r="B149" s="72">
        <v>46142.34375</v>
      </c>
      <c r="C149" s="63" t="s">
        <v>26</v>
      </c>
      <c r="D149" s="63" t="s">
        <v>32</v>
      </c>
      <c r="E149" s="63" t="s">
        <v>38</v>
      </c>
      <c r="F149" s="63">
        <v>0</v>
      </c>
    </row>
    <row r="150">
      <c r="B150" s="72">
        <v>46142.34375</v>
      </c>
      <c r="C150" s="63" t="s">
        <v>27</v>
      </c>
      <c r="D150" s="63" t="s">
        <v>31</v>
      </c>
      <c r="E150" s="63" t="s">
        <v>38</v>
      </c>
      <c r="F150" s="63">
        <v>95</v>
      </c>
    </row>
    <row r="151">
      <c r="B151" s="72">
        <v>46142.34375</v>
      </c>
      <c r="C151" s="63" t="s">
        <v>27</v>
      </c>
      <c r="D151" s="63" t="s">
        <v>35</v>
      </c>
      <c r="E151" s="63" t="s">
        <v>38</v>
      </c>
      <c r="F151" s="63">
        <v>0</v>
      </c>
    </row>
    <row r="152">
      <c r="B152" s="72">
        <v>46142.34375</v>
      </c>
      <c r="C152" s="63" t="s">
        <v>27</v>
      </c>
      <c r="D152" s="63" t="s">
        <v>32</v>
      </c>
      <c r="E152" s="63" t="s">
        <v>38</v>
      </c>
      <c r="F152" s="63">
        <v>0</v>
      </c>
    </row>
    <row r="153">
      <c r="B153" s="72">
        <v>46142.34375</v>
      </c>
      <c r="C153" s="63" t="s">
        <v>25</v>
      </c>
      <c r="D153" s="63" t="s">
        <v>30</v>
      </c>
      <c r="E153" s="63" t="s">
        <v>42</v>
      </c>
      <c r="F153" s="63">
        <v>0</v>
      </c>
    </row>
    <row r="154">
      <c r="B154" s="72">
        <v>46142.34375</v>
      </c>
      <c r="C154" s="63" t="s">
        <v>25</v>
      </c>
      <c r="D154" s="63" t="s">
        <v>31</v>
      </c>
      <c r="E154" s="63" t="s">
        <v>42</v>
      </c>
      <c r="F154" s="63">
        <v>2</v>
      </c>
    </row>
    <row r="155">
      <c r="B155" s="72">
        <v>46142.34375</v>
      </c>
      <c r="C155" s="63" t="s">
        <v>25</v>
      </c>
      <c r="D155" s="63" t="s">
        <v>32</v>
      </c>
      <c r="E155" s="63" t="s">
        <v>42</v>
      </c>
      <c r="F155" s="63">
        <v>0</v>
      </c>
    </row>
    <row r="156">
      <c r="B156" s="72">
        <v>46142.34375</v>
      </c>
      <c r="C156" s="63" t="s">
        <v>26</v>
      </c>
      <c r="D156" s="63" t="s">
        <v>30</v>
      </c>
      <c r="E156" s="63" t="s">
        <v>42</v>
      </c>
      <c r="F156" s="63">
        <v>0</v>
      </c>
    </row>
    <row r="157">
      <c r="B157" s="72">
        <v>46142.34375</v>
      </c>
      <c r="C157" s="63" t="s">
        <v>26</v>
      </c>
      <c r="D157" s="63" t="s">
        <v>35</v>
      </c>
      <c r="E157" s="63" t="s">
        <v>42</v>
      </c>
      <c r="F157" s="63">
        <v>0</v>
      </c>
    </row>
    <row r="158">
      <c r="B158" s="72">
        <v>46142.34375</v>
      </c>
      <c r="C158" s="63" t="s">
        <v>26</v>
      </c>
      <c r="D158" s="63" t="s">
        <v>32</v>
      </c>
      <c r="E158" s="63" t="s">
        <v>42</v>
      </c>
      <c r="F158" s="63">
        <v>0</v>
      </c>
    </row>
    <row r="159">
      <c r="B159" s="72">
        <v>46142.34375</v>
      </c>
      <c r="C159" s="63" t="s">
        <v>27</v>
      </c>
      <c r="D159" s="63" t="s">
        <v>31</v>
      </c>
      <c r="E159" s="63" t="s">
        <v>42</v>
      </c>
      <c r="F159" s="63">
        <v>5</v>
      </c>
    </row>
    <row r="160">
      <c r="B160" s="72">
        <v>46142.34375</v>
      </c>
      <c r="C160" s="63" t="s">
        <v>27</v>
      </c>
      <c r="D160" s="63" t="s">
        <v>35</v>
      </c>
      <c r="E160" s="63" t="s">
        <v>42</v>
      </c>
      <c r="F160" s="63">
        <v>0</v>
      </c>
    </row>
    <row r="161">
      <c r="B161" s="72">
        <v>46142.34375</v>
      </c>
      <c r="C161" s="63" t="s">
        <v>27</v>
      </c>
      <c r="D161" s="63" t="s">
        <v>32</v>
      </c>
      <c r="E161" s="63" t="s">
        <v>42</v>
      </c>
      <c r="F161" s="63">
        <v>0</v>
      </c>
    </row>
    <row r="162">
      <c r="B162" s="72">
        <v>46142.34375</v>
      </c>
      <c r="C162" s="63" t="s">
        <v>25</v>
      </c>
      <c r="D162" s="63" t="s">
        <v>30</v>
      </c>
      <c r="E162" s="63" t="s">
        <v>44</v>
      </c>
      <c r="F162" s="63">
        <v>0</v>
      </c>
    </row>
    <row r="163">
      <c r="B163" s="72">
        <v>46142.34375</v>
      </c>
      <c r="C163" s="63" t="s">
        <v>25</v>
      </c>
      <c r="D163" s="63" t="s">
        <v>31</v>
      </c>
      <c r="E163" s="63" t="s">
        <v>44</v>
      </c>
      <c r="F163" s="63">
        <v>3</v>
      </c>
    </row>
    <row r="164">
      <c r="B164" s="72">
        <v>46142.34375</v>
      </c>
      <c r="C164" s="63" t="s">
        <v>25</v>
      </c>
      <c r="D164" s="63" t="s">
        <v>32</v>
      </c>
      <c r="E164" s="63" t="s">
        <v>44</v>
      </c>
      <c r="F164" s="63">
        <v>0</v>
      </c>
    </row>
    <row r="165">
      <c r="B165" s="72">
        <v>46142.34375</v>
      </c>
      <c r="C165" s="63" t="s">
        <v>26</v>
      </c>
      <c r="D165" s="63" t="s">
        <v>30</v>
      </c>
      <c r="E165" s="63" t="s">
        <v>44</v>
      </c>
      <c r="F165" s="63">
        <v>0</v>
      </c>
    </row>
    <row r="166">
      <c r="B166" s="72">
        <v>46142.34375</v>
      </c>
      <c r="C166" s="63" t="s">
        <v>26</v>
      </c>
      <c r="D166" s="63" t="s">
        <v>35</v>
      </c>
      <c r="E166" s="63" t="s">
        <v>44</v>
      </c>
      <c r="F166" s="63">
        <v>0</v>
      </c>
    </row>
    <row r="167">
      <c r="B167" s="72">
        <v>46142.34375</v>
      </c>
      <c r="C167" s="63" t="s">
        <v>26</v>
      </c>
      <c r="D167" s="63" t="s">
        <v>32</v>
      </c>
      <c r="E167" s="63" t="s">
        <v>44</v>
      </c>
      <c r="F167" s="63">
        <v>0</v>
      </c>
    </row>
    <row r="168">
      <c r="B168" s="72">
        <v>46142.34375</v>
      </c>
      <c r="C168" s="63" t="s">
        <v>27</v>
      </c>
      <c r="D168" s="63" t="s">
        <v>31</v>
      </c>
      <c r="E168" s="63" t="s">
        <v>44</v>
      </c>
      <c r="F168" s="63">
        <v>3</v>
      </c>
    </row>
    <row r="169">
      <c r="B169" s="72">
        <v>46142.34375</v>
      </c>
      <c r="C169" s="63" t="s">
        <v>27</v>
      </c>
      <c r="D169" s="63" t="s">
        <v>35</v>
      </c>
      <c r="E169" s="63" t="s">
        <v>44</v>
      </c>
      <c r="F169" s="63">
        <v>0</v>
      </c>
    </row>
    <row r="170">
      <c r="B170" s="72">
        <v>46142.34375</v>
      </c>
      <c r="C170" s="63" t="s">
        <v>27</v>
      </c>
      <c r="D170" s="63" t="s">
        <v>32</v>
      </c>
      <c r="E170" s="63" t="s">
        <v>44</v>
      </c>
      <c r="F170" s="63">
        <v>0</v>
      </c>
    </row>
    <row r="171">
      <c r="B171" s="72">
        <v>46142.3541666667</v>
      </c>
      <c r="C171" s="63" t="s">
        <v>25</v>
      </c>
      <c r="D171" s="63" t="s">
        <v>30</v>
      </c>
      <c r="E171" s="63" t="s">
        <v>38</v>
      </c>
      <c r="F171" s="63">
        <v>0</v>
      </c>
    </row>
    <row r="172">
      <c r="B172" s="72">
        <v>46142.3541666667</v>
      </c>
      <c r="C172" s="63" t="s">
        <v>25</v>
      </c>
      <c r="D172" s="63" t="s">
        <v>31</v>
      </c>
      <c r="E172" s="63" t="s">
        <v>38</v>
      </c>
      <c r="F172" s="63">
        <v>63</v>
      </c>
    </row>
    <row r="173">
      <c r="B173" s="72">
        <v>46142.3541666667</v>
      </c>
      <c r="C173" s="63" t="s">
        <v>25</v>
      </c>
      <c r="D173" s="63" t="s">
        <v>32</v>
      </c>
      <c r="E173" s="63" t="s">
        <v>38</v>
      </c>
      <c r="F173" s="63">
        <v>0</v>
      </c>
    </row>
    <row r="174">
      <c r="B174" s="72">
        <v>46142.3541666667</v>
      </c>
      <c r="C174" s="63" t="s">
        <v>26</v>
      </c>
      <c r="D174" s="63" t="s">
        <v>30</v>
      </c>
      <c r="E174" s="63" t="s">
        <v>38</v>
      </c>
      <c r="F174" s="63">
        <v>0</v>
      </c>
    </row>
    <row r="175">
      <c r="B175" s="72">
        <v>46142.3541666667</v>
      </c>
      <c r="C175" s="63" t="s">
        <v>26</v>
      </c>
      <c r="D175" s="63" t="s">
        <v>35</v>
      </c>
      <c r="E175" s="63" t="s">
        <v>38</v>
      </c>
      <c r="F175" s="63">
        <v>3</v>
      </c>
    </row>
    <row r="176">
      <c r="B176" s="72">
        <v>46142.3541666667</v>
      </c>
      <c r="C176" s="63" t="s">
        <v>26</v>
      </c>
      <c r="D176" s="63" t="s">
        <v>32</v>
      </c>
      <c r="E176" s="63" t="s">
        <v>38</v>
      </c>
      <c r="F176" s="63">
        <v>0</v>
      </c>
    </row>
    <row r="177">
      <c r="B177" s="72">
        <v>46142.3541666667</v>
      </c>
      <c r="C177" s="63" t="s">
        <v>27</v>
      </c>
      <c r="D177" s="63" t="s">
        <v>31</v>
      </c>
      <c r="E177" s="63" t="s">
        <v>38</v>
      </c>
      <c r="F177" s="63">
        <v>75</v>
      </c>
    </row>
    <row r="178">
      <c r="B178" s="72">
        <v>46142.3541666667</v>
      </c>
      <c r="C178" s="63" t="s">
        <v>27</v>
      </c>
      <c r="D178" s="63" t="s">
        <v>35</v>
      </c>
      <c r="E178" s="63" t="s">
        <v>38</v>
      </c>
      <c r="F178" s="63">
        <v>0</v>
      </c>
    </row>
    <row r="179">
      <c r="B179" s="72">
        <v>46142.3541666667</v>
      </c>
      <c r="C179" s="63" t="s">
        <v>27</v>
      </c>
      <c r="D179" s="63" t="s">
        <v>32</v>
      </c>
      <c r="E179" s="63" t="s">
        <v>38</v>
      </c>
      <c r="F179" s="63">
        <v>0</v>
      </c>
    </row>
    <row r="180">
      <c r="B180" s="72">
        <v>46142.3541666667</v>
      </c>
      <c r="C180" s="63" t="s">
        <v>25</v>
      </c>
      <c r="D180" s="63" t="s">
        <v>30</v>
      </c>
      <c r="E180" s="63" t="s">
        <v>42</v>
      </c>
      <c r="F180" s="63">
        <v>0</v>
      </c>
    </row>
    <row r="181">
      <c r="B181" s="72">
        <v>46142.3541666667</v>
      </c>
      <c r="C181" s="63" t="s">
        <v>25</v>
      </c>
      <c r="D181" s="63" t="s">
        <v>31</v>
      </c>
      <c r="E181" s="63" t="s">
        <v>42</v>
      </c>
      <c r="F181" s="63">
        <v>5</v>
      </c>
    </row>
    <row r="182">
      <c r="B182" s="72">
        <v>46142.3541666667</v>
      </c>
      <c r="C182" s="63" t="s">
        <v>25</v>
      </c>
      <c r="D182" s="63" t="s">
        <v>32</v>
      </c>
      <c r="E182" s="63" t="s">
        <v>42</v>
      </c>
      <c r="F182" s="63">
        <v>0</v>
      </c>
    </row>
    <row r="183">
      <c r="B183" s="72">
        <v>46142.3541666667</v>
      </c>
      <c r="C183" s="63" t="s">
        <v>26</v>
      </c>
      <c r="D183" s="63" t="s">
        <v>30</v>
      </c>
      <c r="E183" s="63" t="s">
        <v>42</v>
      </c>
      <c r="F183" s="63">
        <v>0</v>
      </c>
    </row>
    <row r="184">
      <c r="B184" s="72">
        <v>46142.3541666667</v>
      </c>
      <c r="C184" s="63" t="s">
        <v>26</v>
      </c>
      <c r="D184" s="63" t="s">
        <v>35</v>
      </c>
      <c r="E184" s="63" t="s">
        <v>42</v>
      </c>
      <c r="F184" s="63">
        <v>0</v>
      </c>
    </row>
    <row r="185">
      <c r="B185" s="72">
        <v>46142.3541666667</v>
      </c>
      <c r="C185" s="63" t="s">
        <v>26</v>
      </c>
      <c r="D185" s="63" t="s">
        <v>32</v>
      </c>
      <c r="E185" s="63" t="s">
        <v>42</v>
      </c>
      <c r="F185" s="63">
        <v>0</v>
      </c>
    </row>
    <row r="186">
      <c r="B186" s="72">
        <v>46142.3541666667</v>
      </c>
      <c r="C186" s="63" t="s">
        <v>27</v>
      </c>
      <c r="D186" s="63" t="s">
        <v>31</v>
      </c>
      <c r="E186" s="63" t="s">
        <v>42</v>
      </c>
      <c r="F186" s="63">
        <v>5</v>
      </c>
    </row>
    <row r="187">
      <c r="B187" s="72">
        <v>46142.3541666667</v>
      </c>
      <c r="C187" s="63" t="s">
        <v>27</v>
      </c>
      <c r="D187" s="63" t="s">
        <v>35</v>
      </c>
      <c r="E187" s="63" t="s">
        <v>42</v>
      </c>
      <c r="F187" s="63">
        <v>0</v>
      </c>
    </row>
    <row r="188">
      <c r="B188" s="72">
        <v>46142.3541666667</v>
      </c>
      <c r="C188" s="63" t="s">
        <v>27</v>
      </c>
      <c r="D188" s="63" t="s">
        <v>32</v>
      </c>
      <c r="E188" s="63" t="s">
        <v>42</v>
      </c>
      <c r="F188" s="63">
        <v>0</v>
      </c>
    </row>
    <row r="189">
      <c r="B189" s="72">
        <v>46142.3541666667</v>
      </c>
      <c r="C189" s="63" t="s">
        <v>25</v>
      </c>
      <c r="D189" s="63" t="s">
        <v>30</v>
      </c>
      <c r="E189" s="63" t="s">
        <v>44</v>
      </c>
      <c r="F189" s="63">
        <v>0</v>
      </c>
    </row>
    <row r="190">
      <c r="B190" s="72">
        <v>46142.3541666667</v>
      </c>
      <c r="C190" s="63" t="s">
        <v>25</v>
      </c>
      <c r="D190" s="63" t="s">
        <v>31</v>
      </c>
      <c r="E190" s="63" t="s">
        <v>44</v>
      </c>
      <c r="F190" s="63">
        <v>4</v>
      </c>
    </row>
    <row r="191">
      <c r="B191" s="72">
        <v>46142.3541666667</v>
      </c>
      <c r="C191" s="63" t="s">
        <v>25</v>
      </c>
      <c r="D191" s="63" t="s">
        <v>32</v>
      </c>
      <c r="E191" s="63" t="s">
        <v>44</v>
      </c>
      <c r="F191" s="63">
        <v>0</v>
      </c>
    </row>
    <row r="192">
      <c r="B192" s="72">
        <v>46142.3541666667</v>
      </c>
      <c r="C192" s="63" t="s">
        <v>26</v>
      </c>
      <c r="D192" s="63" t="s">
        <v>30</v>
      </c>
      <c r="E192" s="63" t="s">
        <v>44</v>
      </c>
      <c r="F192" s="63">
        <v>0</v>
      </c>
    </row>
    <row r="193">
      <c r="B193" s="72">
        <v>46142.3541666667</v>
      </c>
      <c r="C193" s="63" t="s">
        <v>26</v>
      </c>
      <c r="D193" s="63" t="s">
        <v>35</v>
      </c>
      <c r="E193" s="63" t="s">
        <v>44</v>
      </c>
      <c r="F193" s="63">
        <v>0</v>
      </c>
    </row>
    <row r="194">
      <c r="B194" s="72">
        <v>46142.3541666667</v>
      </c>
      <c r="C194" s="63" t="s">
        <v>26</v>
      </c>
      <c r="D194" s="63" t="s">
        <v>32</v>
      </c>
      <c r="E194" s="63" t="s">
        <v>44</v>
      </c>
      <c r="F194" s="63">
        <v>0</v>
      </c>
    </row>
    <row r="195">
      <c r="B195" s="72">
        <v>46142.3541666667</v>
      </c>
      <c r="C195" s="63" t="s">
        <v>27</v>
      </c>
      <c r="D195" s="63" t="s">
        <v>31</v>
      </c>
      <c r="E195" s="63" t="s">
        <v>44</v>
      </c>
      <c r="F195" s="63">
        <v>8</v>
      </c>
    </row>
    <row r="196">
      <c r="B196" s="72">
        <v>46142.3541666667</v>
      </c>
      <c r="C196" s="63" t="s">
        <v>27</v>
      </c>
      <c r="D196" s="63" t="s">
        <v>35</v>
      </c>
      <c r="E196" s="63" t="s">
        <v>44</v>
      </c>
      <c r="F196" s="63">
        <v>0</v>
      </c>
    </row>
    <row r="197">
      <c r="B197" s="72">
        <v>46142.3541666667</v>
      </c>
      <c r="C197" s="63" t="s">
        <v>27</v>
      </c>
      <c r="D197" s="63" t="s">
        <v>32</v>
      </c>
      <c r="E197" s="63" t="s">
        <v>44</v>
      </c>
      <c r="F197" s="63">
        <v>0</v>
      </c>
    </row>
    <row r="198">
      <c r="B198" s="72">
        <v>46142.3645833333</v>
      </c>
      <c r="C198" s="63" t="s">
        <v>25</v>
      </c>
      <c r="D198" s="63" t="s">
        <v>30</v>
      </c>
      <c r="E198" s="63" t="s">
        <v>38</v>
      </c>
      <c r="F198" s="63">
        <v>0</v>
      </c>
    </row>
    <row r="199">
      <c r="B199" s="72">
        <v>46142.3645833333</v>
      </c>
      <c r="C199" s="63" t="s">
        <v>25</v>
      </c>
      <c r="D199" s="63" t="s">
        <v>31</v>
      </c>
      <c r="E199" s="63" t="s">
        <v>38</v>
      </c>
      <c r="F199" s="63">
        <v>63</v>
      </c>
    </row>
    <row r="200">
      <c r="B200" s="72">
        <v>46142.3645833333</v>
      </c>
      <c r="C200" s="63" t="s">
        <v>25</v>
      </c>
      <c r="D200" s="63" t="s">
        <v>32</v>
      </c>
      <c r="E200" s="63" t="s">
        <v>38</v>
      </c>
      <c r="F200" s="63">
        <v>0</v>
      </c>
    </row>
    <row r="201">
      <c r="B201" s="72">
        <v>46142.3645833333</v>
      </c>
      <c r="C201" s="63" t="s">
        <v>26</v>
      </c>
      <c r="D201" s="63" t="s">
        <v>30</v>
      </c>
      <c r="E201" s="63" t="s">
        <v>38</v>
      </c>
      <c r="F201" s="63">
        <v>0</v>
      </c>
    </row>
    <row r="202">
      <c r="B202" s="72">
        <v>46142.3645833333</v>
      </c>
      <c r="C202" s="63" t="s">
        <v>26</v>
      </c>
      <c r="D202" s="63" t="s">
        <v>35</v>
      </c>
      <c r="E202" s="63" t="s">
        <v>38</v>
      </c>
      <c r="F202" s="63">
        <v>0</v>
      </c>
    </row>
    <row r="203">
      <c r="B203" s="72">
        <v>46142.3645833333</v>
      </c>
      <c r="C203" s="63" t="s">
        <v>26</v>
      </c>
      <c r="D203" s="63" t="s">
        <v>32</v>
      </c>
      <c r="E203" s="63" t="s">
        <v>38</v>
      </c>
      <c r="F203" s="63">
        <v>0</v>
      </c>
    </row>
    <row r="204">
      <c r="B204" s="72">
        <v>46142.3645833333</v>
      </c>
      <c r="C204" s="63" t="s">
        <v>27</v>
      </c>
      <c r="D204" s="63" t="s">
        <v>31</v>
      </c>
      <c r="E204" s="63" t="s">
        <v>38</v>
      </c>
      <c r="F204" s="63">
        <v>75</v>
      </c>
    </row>
    <row r="205">
      <c r="B205" s="72">
        <v>46142.3645833333</v>
      </c>
      <c r="C205" s="63" t="s">
        <v>27</v>
      </c>
      <c r="D205" s="63" t="s">
        <v>35</v>
      </c>
      <c r="E205" s="63" t="s">
        <v>38</v>
      </c>
      <c r="F205" s="63">
        <v>0</v>
      </c>
    </row>
    <row r="206">
      <c r="B206" s="72">
        <v>46142.3645833333</v>
      </c>
      <c r="C206" s="63" t="s">
        <v>27</v>
      </c>
      <c r="D206" s="63" t="s">
        <v>32</v>
      </c>
      <c r="E206" s="63" t="s">
        <v>38</v>
      </c>
      <c r="F206" s="63">
        <v>0</v>
      </c>
    </row>
    <row r="207">
      <c r="B207" s="72">
        <v>46142.3645833333</v>
      </c>
      <c r="C207" s="63" t="s">
        <v>25</v>
      </c>
      <c r="D207" s="63" t="s">
        <v>30</v>
      </c>
      <c r="E207" s="63" t="s">
        <v>42</v>
      </c>
      <c r="F207" s="63">
        <v>0</v>
      </c>
    </row>
    <row r="208">
      <c r="B208" s="72">
        <v>46142.3645833333</v>
      </c>
      <c r="C208" s="63" t="s">
        <v>25</v>
      </c>
      <c r="D208" s="63" t="s">
        <v>31</v>
      </c>
      <c r="E208" s="63" t="s">
        <v>42</v>
      </c>
      <c r="F208" s="63">
        <v>3</v>
      </c>
    </row>
    <row r="209">
      <c r="B209" s="72">
        <v>46142.3645833333</v>
      </c>
      <c r="C209" s="63" t="s">
        <v>25</v>
      </c>
      <c r="D209" s="63" t="s">
        <v>32</v>
      </c>
      <c r="E209" s="63" t="s">
        <v>42</v>
      </c>
      <c r="F209" s="63">
        <v>0</v>
      </c>
    </row>
    <row r="210">
      <c r="B210" s="72">
        <v>46142.3645833333</v>
      </c>
      <c r="C210" s="63" t="s">
        <v>26</v>
      </c>
      <c r="D210" s="63" t="s">
        <v>30</v>
      </c>
      <c r="E210" s="63" t="s">
        <v>42</v>
      </c>
      <c r="F210" s="63">
        <v>0</v>
      </c>
    </row>
    <row r="211">
      <c r="B211" s="72">
        <v>46142.3645833333</v>
      </c>
      <c r="C211" s="63" t="s">
        <v>26</v>
      </c>
      <c r="D211" s="63" t="s">
        <v>35</v>
      </c>
      <c r="E211" s="63" t="s">
        <v>42</v>
      </c>
      <c r="F211" s="63">
        <v>0</v>
      </c>
    </row>
    <row r="212">
      <c r="B212" s="72">
        <v>46142.3645833333</v>
      </c>
      <c r="C212" s="63" t="s">
        <v>26</v>
      </c>
      <c r="D212" s="63" t="s">
        <v>32</v>
      </c>
      <c r="E212" s="63" t="s">
        <v>42</v>
      </c>
      <c r="F212" s="63">
        <v>0</v>
      </c>
    </row>
    <row r="213">
      <c r="B213" s="72">
        <v>46142.3645833333</v>
      </c>
      <c r="C213" s="63" t="s">
        <v>27</v>
      </c>
      <c r="D213" s="63" t="s">
        <v>31</v>
      </c>
      <c r="E213" s="63" t="s">
        <v>42</v>
      </c>
      <c r="F213" s="63">
        <v>2</v>
      </c>
    </row>
    <row r="214">
      <c r="B214" s="72">
        <v>46142.3645833333</v>
      </c>
      <c r="C214" s="63" t="s">
        <v>27</v>
      </c>
      <c r="D214" s="63" t="s">
        <v>35</v>
      </c>
      <c r="E214" s="63" t="s">
        <v>42</v>
      </c>
      <c r="F214" s="63">
        <v>0</v>
      </c>
    </row>
    <row r="215">
      <c r="B215" s="72">
        <v>46142.3645833333</v>
      </c>
      <c r="C215" s="63" t="s">
        <v>27</v>
      </c>
      <c r="D215" s="63" t="s">
        <v>32</v>
      </c>
      <c r="E215" s="63" t="s">
        <v>42</v>
      </c>
      <c r="F215" s="63">
        <v>0</v>
      </c>
    </row>
    <row r="216">
      <c r="B216" s="72">
        <v>46142.3645833333</v>
      </c>
      <c r="C216" s="63" t="s">
        <v>25</v>
      </c>
      <c r="D216" s="63" t="s">
        <v>30</v>
      </c>
      <c r="E216" s="63" t="s">
        <v>44</v>
      </c>
      <c r="F216" s="63">
        <v>0</v>
      </c>
    </row>
    <row r="217">
      <c r="B217" s="72">
        <v>46142.3645833333</v>
      </c>
      <c r="C217" s="63" t="s">
        <v>25</v>
      </c>
      <c r="D217" s="63" t="s">
        <v>31</v>
      </c>
      <c r="E217" s="63" t="s">
        <v>44</v>
      </c>
      <c r="F217" s="63">
        <v>4</v>
      </c>
    </row>
    <row r="218">
      <c r="B218" s="72">
        <v>46142.3645833333</v>
      </c>
      <c r="C218" s="63" t="s">
        <v>25</v>
      </c>
      <c r="D218" s="63" t="s">
        <v>32</v>
      </c>
      <c r="E218" s="63" t="s">
        <v>44</v>
      </c>
      <c r="F218" s="63">
        <v>0</v>
      </c>
    </row>
    <row r="219">
      <c r="B219" s="72">
        <v>46142.3645833333</v>
      </c>
      <c r="C219" s="63" t="s">
        <v>26</v>
      </c>
      <c r="D219" s="63" t="s">
        <v>30</v>
      </c>
      <c r="E219" s="63" t="s">
        <v>44</v>
      </c>
      <c r="F219" s="63">
        <v>0</v>
      </c>
    </row>
    <row r="220">
      <c r="B220" s="72">
        <v>46142.3645833333</v>
      </c>
      <c r="C220" s="63" t="s">
        <v>26</v>
      </c>
      <c r="D220" s="63" t="s">
        <v>35</v>
      </c>
      <c r="E220" s="63" t="s">
        <v>44</v>
      </c>
      <c r="F220" s="63">
        <v>0</v>
      </c>
    </row>
    <row r="221">
      <c r="B221" s="72">
        <v>46142.3645833333</v>
      </c>
      <c r="C221" s="63" t="s">
        <v>26</v>
      </c>
      <c r="D221" s="63" t="s">
        <v>32</v>
      </c>
      <c r="E221" s="63" t="s">
        <v>44</v>
      </c>
      <c r="F221" s="63">
        <v>0</v>
      </c>
    </row>
    <row r="222">
      <c r="B222" s="72">
        <v>46142.3645833333</v>
      </c>
      <c r="C222" s="63" t="s">
        <v>27</v>
      </c>
      <c r="D222" s="63" t="s">
        <v>31</v>
      </c>
      <c r="E222" s="63" t="s">
        <v>44</v>
      </c>
      <c r="F222" s="63">
        <v>5</v>
      </c>
    </row>
    <row r="223">
      <c r="B223" s="72">
        <v>46142.3645833333</v>
      </c>
      <c r="C223" s="63" t="s">
        <v>27</v>
      </c>
      <c r="D223" s="63" t="s">
        <v>35</v>
      </c>
      <c r="E223" s="63" t="s">
        <v>44</v>
      </c>
      <c r="F223" s="63">
        <v>0</v>
      </c>
    </row>
    <row r="224">
      <c r="B224" s="72">
        <v>46142.3645833333</v>
      </c>
      <c r="C224" s="63" t="s">
        <v>27</v>
      </c>
      <c r="D224" s="63" t="s">
        <v>32</v>
      </c>
      <c r="E224" s="63" t="s">
        <v>44</v>
      </c>
      <c r="F224" s="63">
        <v>0</v>
      </c>
    </row>
    <row r="225">
      <c r="B225" s="72">
        <v>46142.6666666667</v>
      </c>
      <c r="C225" s="63" t="s">
        <v>25</v>
      </c>
      <c r="D225" s="63" t="s">
        <v>30</v>
      </c>
      <c r="E225" s="63" t="s">
        <v>38</v>
      </c>
      <c r="F225" s="63">
        <v>5</v>
      </c>
    </row>
    <row r="226">
      <c r="B226" s="72">
        <v>46142.6666666667</v>
      </c>
      <c r="C226" s="63" t="s">
        <v>25</v>
      </c>
      <c r="D226" s="63" t="s">
        <v>31</v>
      </c>
      <c r="E226" s="63" t="s">
        <v>38</v>
      </c>
      <c r="F226" s="63">
        <v>137</v>
      </c>
    </row>
    <row r="227">
      <c r="B227" s="72">
        <v>46142.6666666667</v>
      </c>
      <c r="C227" s="63" t="s">
        <v>25</v>
      </c>
      <c r="D227" s="63" t="s">
        <v>32</v>
      </c>
      <c r="E227" s="63" t="s">
        <v>38</v>
      </c>
      <c r="F227" s="63">
        <v>0</v>
      </c>
    </row>
    <row r="228">
      <c r="B228" s="72">
        <v>46142.6666666667</v>
      </c>
      <c r="C228" s="63" t="s">
        <v>26</v>
      </c>
      <c r="D228" s="63" t="s">
        <v>30</v>
      </c>
      <c r="E228" s="63" t="s">
        <v>38</v>
      </c>
      <c r="F228" s="63">
        <v>1</v>
      </c>
    </row>
    <row r="229">
      <c r="B229" s="72">
        <v>46142.6666666667</v>
      </c>
      <c r="C229" s="63" t="s">
        <v>26</v>
      </c>
      <c r="D229" s="63" t="s">
        <v>35</v>
      </c>
      <c r="E229" s="63" t="s">
        <v>38</v>
      </c>
      <c r="F229" s="63">
        <v>0</v>
      </c>
    </row>
    <row r="230">
      <c r="B230" s="72">
        <v>46142.6666666667</v>
      </c>
      <c r="C230" s="63" t="s">
        <v>26</v>
      </c>
      <c r="D230" s="63" t="s">
        <v>32</v>
      </c>
      <c r="E230" s="63" t="s">
        <v>38</v>
      </c>
      <c r="F230" s="63">
        <v>0</v>
      </c>
    </row>
    <row r="231">
      <c r="B231" s="72">
        <v>46142.6666666667</v>
      </c>
      <c r="C231" s="63" t="s">
        <v>27</v>
      </c>
      <c r="D231" s="63" t="s">
        <v>31</v>
      </c>
      <c r="E231" s="63" t="s">
        <v>38</v>
      </c>
      <c r="F231" s="63">
        <v>106</v>
      </c>
    </row>
    <row r="232">
      <c r="B232" s="72">
        <v>46142.6666666667</v>
      </c>
      <c r="C232" s="63" t="s">
        <v>27</v>
      </c>
      <c r="D232" s="63" t="s">
        <v>35</v>
      </c>
      <c r="E232" s="63" t="s">
        <v>38</v>
      </c>
      <c r="F232" s="63">
        <v>0</v>
      </c>
    </row>
    <row r="233">
      <c r="B233" s="72">
        <v>46142.6666666667</v>
      </c>
      <c r="C233" s="63" t="s">
        <v>27</v>
      </c>
      <c r="D233" s="63" t="s">
        <v>32</v>
      </c>
      <c r="E233" s="63" t="s">
        <v>38</v>
      </c>
      <c r="F233" s="63">
        <v>0</v>
      </c>
    </row>
    <row r="234">
      <c r="B234" s="72">
        <v>46142.6666666667</v>
      </c>
      <c r="C234" s="63" t="s">
        <v>25</v>
      </c>
      <c r="D234" s="63" t="s">
        <v>30</v>
      </c>
      <c r="E234" s="63" t="s">
        <v>42</v>
      </c>
      <c r="F234" s="63">
        <v>0</v>
      </c>
    </row>
    <row r="235">
      <c r="B235" s="72">
        <v>46142.6666666667</v>
      </c>
      <c r="C235" s="63" t="s">
        <v>25</v>
      </c>
      <c r="D235" s="63" t="s">
        <v>31</v>
      </c>
      <c r="E235" s="63" t="s">
        <v>42</v>
      </c>
      <c r="F235" s="63">
        <v>6</v>
      </c>
    </row>
    <row r="236">
      <c r="B236" s="72">
        <v>46142.6666666667</v>
      </c>
      <c r="C236" s="63" t="s">
        <v>25</v>
      </c>
      <c r="D236" s="63" t="s">
        <v>32</v>
      </c>
      <c r="E236" s="63" t="s">
        <v>42</v>
      </c>
      <c r="F236" s="63">
        <v>0</v>
      </c>
    </row>
    <row r="237">
      <c r="B237" s="72">
        <v>46142.6666666667</v>
      </c>
      <c r="C237" s="63" t="s">
        <v>26</v>
      </c>
      <c r="D237" s="63" t="s">
        <v>30</v>
      </c>
      <c r="E237" s="63" t="s">
        <v>42</v>
      </c>
      <c r="F237" s="63">
        <v>0</v>
      </c>
    </row>
    <row r="238">
      <c r="B238" s="72">
        <v>46142.6666666667</v>
      </c>
      <c r="C238" s="63" t="s">
        <v>26</v>
      </c>
      <c r="D238" s="63" t="s">
        <v>35</v>
      </c>
      <c r="E238" s="63" t="s">
        <v>42</v>
      </c>
      <c r="F238" s="63">
        <v>0</v>
      </c>
    </row>
    <row r="239">
      <c r="B239" s="72">
        <v>46142.6666666667</v>
      </c>
      <c r="C239" s="63" t="s">
        <v>26</v>
      </c>
      <c r="D239" s="63" t="s">
        <v>32</v>
      </c>
      <c r="E239" s="63" t="s">
        <v>42</v>
      </c>
      <c r="F239" s="63">
        <v>0</v>
      </c>
    </row>
    <row r="240">
      <c r="B240" s="72">
        <v>46142.6666666667</v>
      </c>
      <c r="C240" s="63" t="s">
        <v>27</v>
      </c>
      <c r="D240" s="63" t="s">
        <v>31</v>
      </c>
      <c r="E240" s="63" t="s">
        <v>42</v>
      </c>
      <c r="F240" s="63">
        <v>5</v>
      </c>
    </row>
    <row r="241">
      <c r="B241" s="72">
        <v>46142.6666666667</v>
      </c>
      <c r="C241" s="63" t="s">
        <v>27</v>
      </c>
      <c r="D241" s="63" t="s">
        <v>35</v>
      </c>
      <c r="E241" s="63" t="s">
        <v>42</v>
      </c>
      <c r="F241" s="63">
        <v>1</v>
      </c>
    </row>
    <row r="242">
      <c r="B242" s="72">
        <v>46142.6666666667</v>
      </c>
      <c r="C242" s="63" t="s">
        <v>27</v>
      </c>
      <c r="D242" s="63" t="s">
        <v>32</v>
      </c>
      <c r="E242" s="63" t="s">
        <v>42</v>
      </c>
      <c r="F242" s="63">
        <v>0</v>
      </c>
    </row>
    <row r="243">
      <c r="B243" s="72">
        <v>46142.6666666667</v>
      </c>
      <c r="C243" s="63" t="s">
        <v>25</v>
      </c>
      <c r="D243" s="63" t="s">
        <v>30</v>
      </c>
      <c r="E243" s="63" t="s">
        <v>44</v>
      </c>
      <c r="F243" s="63">
        <v>0</v>
      </c>
    </row>
    <row r="244">
      <c r="B244" s="72">
        <v>46142.6666666667</v>
      </c>
      <c r="C244" s="63" t="s">
        <v>25</v>
      </c>
      <c r="D244" s="63" t="s">
        <v>31</v>
      </c>
      <c r="E244" s="63" t="s">
        <v>44</v>
      </c>
      <c r="F244" s="63">
        <v>4</v>
      </c>
    </row>
    <row r="245">
      <c r="B245" s="72">
        <v>46142.6666666667</v>
      </c>
      <c r="C245" s="63" t="s">
        <v>25</v>
      </c>
      <c r="D245" s="63" t="s">
        <v>32</v>
      </c>
      <c r="E245" s="63" t="s">
        <v>44</v>
      </c>
      <c r="F245" s="63">
        <v>0</v>
      </c>
    </row>
    <row r="246">
      <c r="B246" s="72">
        <v>46142.6666666667</v>
      </c>
      <c r="C246" s="63" t="s">
        <v>26</v>
      </c>
      <c r="D246" s="63" t="s">
        <v>30</v>
      </c>
      <c r="E246" s="63" t="s">
        <v>44</v>
      </c>
      <c r="F246" s="63">
        <v>0</v>
      </c>
    </row>
    <row r="247">
      <c r="B247" s="72">
        <v>46142.6666666667</v>
      </c>
      <c r="C247" s="63" t="s">
        <v>26</v>
      </c>
      <c r="D247" s="63" t="s">
        <v>35</v>
      </c>
      <c r="E247" s="63" t="s">
        <v>44</v>
      </c>
      <c r="F247" s="63">
        <v>0</v>
      </c>
    </row>
    <row r="248">
      <c r="B248" s="72">
        <v>46142.6666666667</v>
      </c>
      <c r="C248" s="63" t="s">
        <v>26</v>
      </c>
      <c r="D248" s="63" t="s">
        <v>32</v>
      </c>
      <c r="E248" s="63" t="s">
        <v>44</v>
      </c>
      <c r="F248" s="63">
        <v>0</v>
      </c>
    </row>
    <row r="249">
      <c r="B249" s="72">
        <v>46142.6666666667</v>
      </c>
      <c r="C249" s="63" t="s">
        <v>27</v>
      </c>
      <c r="D249" s="63" t="s">
        <v>31</v>
      </c>
      <c r="E249" s="63" t="s">
        <v>44</v>
      </c>
      <c r="F249" s="63">
        <v>2</v>
      </c>
    </row>
    <row r="250">
      <c r="B250" s="72">
        <v>46142.6666666667</v>
      </c>
      <c r="C250" s="63" t="s">
        <v>27</v>
      </c>
      <c r="D250" s="63" t="s">
        <v>35</v>
      </c>
      <c r="E250" s="63" t="s">
        <v>44</v>
      </c>
      <c r="F250" s="63">
        <v>0</v>
      </c>
    </row>
    <row r="251">
      <c r="B251" s="72">
        <v>46142.6666666667</v>
      </c>
      <c r="C251" s="63" t="s">
        <v>27</v>
      </c>
      <c r="D251" s="63" t="s">
        <v>32</v>
      </c>
      <c r="E251" s="63" t="s">
        <v>44</v>
      </c>
      <c r="F251" s="63">
        <v>0</v>
      </c>
    </row>
    <row r="252">
      <c r="B252" s="72">
        <v>46142.6770833333</v>
      </c>
      <c r="C252" s="63" t="s">
        <v>25</v>
      </c>
      <c r="D252" s="63" t="s">
        <v>30</v>
      </c>
      <c r="E252" s="63" t="s">
        <v>38</v>
      </c>
      <c r="F252" s="63">
        <v>6</v>
      </c>
    </row>
    <row r="253">
      <c r="B253" s="72">
        <v>46142.6770833333</v>
      </c>
      <c r="C253" s="63" t="s">
        <v>25</v>
      </c>
      <c r="D253" s="63" t="s">
        <v>31</v>
      </c>
      <c r="E253" s="63" t="s">
        <v>38</v>
      </c>
      <c r="F253" s="63">
        <v>115</v>
      </c>
    </row>
    <row r="254">
      <c r="B254" s="72">
        <v>46142.6770833333</v>
      </c>
      <c r="C254" s="63" t="s">
        <v>25</v>
      </c>
      <c r="D254" s="63" t="s">
        <v>32</v>
      </c>
      <c r="E254" s="63" t="s">
        <v>38</v>
      </c>
      <c r="F254" s="63">
        <v>0</v>
      </c>
    </row>
    <row r="255">
      <c r="B255" s="72">
        <v>46142.6770833333</v>
      </c>
      <c r="C255" s="63" t="s">
        <v>26</v>
      </c>
      <c r="D255" s="63" t="s">
        <v>30</v>
      </c>
      <c r="E255" s="63" t="s">
        <v>38</v>
      </c>
      <c r="F255" s="63">
        <v>0</v>
      </c>
    </row>
    <row r="256">
      <c r="B256" s="72">
        <v>46142.6770833333</v>
      </c>
      <c r="C256" s="63" t="s">
        <v>26</v>
      </c>
      <c r="D256" s="63" t="s">
        <v>35</v>
      </c>
      <c r="E256" s="63" t="s">
        <v>38</v>
      </c>
      <c r="F256" s="63">
        <v>3</v>
      </c>
    </row>
    <row r="257">
      <c r="B257" s="72">
        <v>46142.6770833333</v>
      </c>
      <c r="C257" s="63" t="s">
        <v>26</v>
      </c>
      <c r="D257" s="63" t="s">
        <v>32</v>
      </c>
      <c r="E257" s="63" t="s">
        <v>38</v>
      </c>
      <c r="F257" s="63">
        <v>0</v>
      </c>
    </row>
    <row r="258">
      <c r="B258" s="72">
        <v>46142.6770833333</v>
      </c>
      <c r="C258" s="63" t="s">
        <v>27</v>
      </c>
      <c r="D258" s="63" t="s">
        <v>31</v>
      </c>
      <c r="E258" s="63" t="s">
        <v>38</v>
      </c>
      <c r="F258" s="63">
        <v>116</v>
      </c>
    </row>
    <row r="259">
      <c r="B259" s="72">
        <v>46142.6770833333</v>
      </c>
      <c r="C259" s="63" t="s">
        <v>27</v>
      </c>
      <c r="D259" s="63" t="s">
        <v>35</v>
      </c>
      <c r="E259" s="63" t="s">
        <v>38</v>
      </c>
      <c r="F259" s="63">
        <v>1</v>
      </c>
    </row>
    <row r="260">
      <c r="B260" s="72">
        <v>46142.6770833333</v>
      </c>
      <c r="C260" s="63" t="s">
        <v>27</v>
      </c>
      <c r="D260" s="63" t="s">
        <v>32</v>
      </c>
      <c r="E260" s="63" t="s">
        <v>38</v>
      </c>
      <c r="F260" s="63">
        <v>0</v>
      </c>
    </row>
    <row r="261">
      <c r="B261" s="72">
        <v>46142.6770833333</v>
      </c>
      <c r="C261" s="63" t="s">
        <v>25</v>
      </c>
      <c r="D261" s="63" t="s">
        <v>30</v>
      </c>
      <c r="E261" s="63" t="s">
        <v>42</v>
      </c>
      <c r="F261" s="63">
        <v>1</v>
      </c>
    </row>
    <row r="262">
      <c r="B262" s="72">
        <v>46142.6770833333</v>
      </c>
      <c r="C262" s="63" t="s">
        <v>25</v>
      </c>
      <c r="D262" s="63" t="s">
        <v>31</v>
      </c>
      <c r="E262" s="63" t="s">
        <v>42</v>
      </c>
      <c r="F262" s="63">
        <v>6</v>
      </c>
    </row>
    <row r="263">
      <c r="B263" s="72">
        <v>46142.6770833333</v>
      </c>
      <c r="C263" s="63" t="s">
        <v>25</v>
      </c>
      <c r="D263" s="63" t="s">
        <v>32</v>
      </c>
      <c r="E263" s="63" t="s">
        <v>42</v>
      </c>
      <c r="F263" s="63">
        <v>0</v>
      </c>
    </row>
    <row r="264">
      <c r="B264" s="72">
        <v>46142.6770833333</v>
      </c>
      <c r="C264" s="63" t="s">
        <v>26</v>
      </c>
      <c r="D264" s="63" t="s">
        <v>30</v>
      </c>
      <c r="E264" s="63" t="s">
        <v>42</v>
      </c>
      <c r="F264" s="63">
        <v>0</v>
      </c>
    </row>
    <row r="265">
      <c r="B265" s="72">
        <v>46142.6770833333</v>
      </c>
      <c r="C265" s="63" t="s">
        <v>26</v>
      </c>
      <c r="D265" s="63" t="s">
        <v>35</v>
      </c>
      <c r="E265" s="63" t="s">
        <v>42</v>
      </c>
      <c r="F265" s="63">
        <v>0</v>
      </c>
    </row>
    <row r="266">
      <c r="B266" s="72">
        <v>46142.6770833333</v>
      </c>
      <c r="C266" s="63" t="s">
        <v>26</v>
      </c>
      <c r="D266" s="63" t="s">
        <v>32</v>
      </c>
      <c r="E266" s="63" t="s">
        <v>42</v>
      </c>
      <c r="F266" s="63">
        <v>0</v>
      </c>
    </row>
    <row r="267">
      <c r="B267" s="72">
        <v>46142.6770833333</v>
      </c>
      <c r="C267" s="63" t="s">
        <v>27</v>
      </c>
      <c r="D267" s="63" t="s">
        <v>31</v>
      </c>
      <c r="E267" s="63" t="s">
        <v>42</v>
      </c>
      <c r="F267" s="63">
        <v>2</v>
      </c>
    </row>
    <row r="268">
      <c r="B268" s="72">
        <v>46142.6770833333</v>
      </c>
      <c r="C268" s="63" t="s">
        <v>27</v>
      </c>
      <c r="D268" s="63" t="s">
        <v>35</v>
      </c>
      <c r="E268" s="63" t="s">
        <v>42</v>
      </c>
      <c r="F268" s="63">
        <v>0</v>
      </c>
    </row>
    <row r="269">
      <c r="B269" s="72">
        <v>46142.6770833333</v>
      </c>
      <c r="C269" s="63" t="s">
        <v>27</v>
      </c>
      <c r="D269" s="63" t="s">
        <v>32</v>
      </c>
      <c r="E269" s="63" t="s">
        <v>42</v>
      </c>
      <c r="F269" s="63">
        <v>0</v>
      </c>
    </row>
    <row r="270">
      <c r="B270" s="72">
        <v>46142.6770833333</v>
      </c>
      <c r="C270" s="63" t="s">
        <v>25</v>
      </c>
      <c r="D270" s="63" t="s">
        <v>30</v>
      </c>
      <c r="E270" s="63" t="s">
        <v>44</v>
      </c>
      <c r="F270" s="63">
        <v>0</v>
      </c>
    </row>
    <row r="271">
      <c r="B271" s="72">
        <v>46142.6770833333</v>
      </c>
      <c r="C271" s="63" t="s">
        <v>25</v>
      </c>
      <c r="D271" s="63" t="s">
        <v>31</v>
      </c>
      <c r="E271" s="63" t="s">
        <v>44</v>
      </c>
      <c r="F271" s="63">
        <v>4</v>
      </c>
    </row>
    <row r="272">
      <c r="B272" s="72">
        <v>46142.6770833333</v>
      </c>
      <c r="C272" s="63" t="s">
        <v>25</v>
      </c>
      <c r="D272" s="63" t="s">
        <v>32</v>
      </c>
      <c r="E272" s="63" t="s">
        <v>44</v>
      </c>
      <c r="F272" s="63">
        <v>0</v>
      </c>
    </row>
    <row r="273">
      <c r="B273" s="72">
        <v>46142.6770833333</v>
      </c>
      <c r="C273" s="63" t="s">
        <v>26</v>
      </c>
      <c r="D273" s="63" t="s">
        <v>30</v>
      </c>
      <c r="E273" s="63" t="s">
        <v>44</v>
      </c>
      <c r="F273" s="63">
        <v>0</v>
      </c>
    </row>
    <row r="274">
      <c r="B274" s="72">
        <v>46142.6770833333</v>
      </c>
      <c r="C274" s="63" t="s">
        <v>26</v>
      </c>
      <c r="D274" s="63" t="s">
        <v>35</v>
      </c>
      <c r="E274" s="63" t="s">
        <v>44</v>
      </c>
      <c r="F274" s="63">
        <v>0</v>
      </c>
    </row>
    <row r="275">
      <c r="B275" s="72">
        <v>46142.6770833333</v>
      </c>
      <c r="C275" s="63" t="s">
        <v>26</v>
      </c>
      <c r="D275" s="63" t="s">
        <v>32</v>
      </c>
      <c r="E275" s="63" t="s">
        <v>44</v>
      </c>
      <c r="F275" s="63">
        <v>0</v>
      </c>
    </row>
    <row r="276">
      <c r="B276" s="72">
        <v>46142.6770833333</v>
      </c>
      <c r="C276" s="63" t="s">
        <v>27</v>
      </c>
      <c r="D276" s="63" t="s">
        <v>31</v>
      </c>
      <c r="E276" s="63" t="s">
        <v>44</v>
      </c>
      <c r="F276" s="63">
        <v>11</v>
      </c>
    </row>
    <row r="277">
      <c r="B277" s="72">
        <v>46142.6770833333</v>
      </c>
      <c r="C277" s="63" t="s">
        <v>27</v>
      </c>
      <c r="D277" s="63" t="s">
        <v>35</v>
      </c>
      <c r="E277" s="63" t="s">
        <v>44</v>
      </c>
      <c r="F277" s="63">
        <v>0</v>
      </c>
    </row>
    <row r="278">
      <c r="B278" s="72">
        <v>46142.6770833333</v>
      </c>
      <c r="C278" s="63" t="s">
        <v>27</v>
      </c>
      <c r="D278" s="63" t="s">
        <v>32</v>
      </c>
      <c r="E278" s="63" t="s">
        <v>44</v>
      </c>
      <c r="F278" s="63">
        <v>0</v>
      </c>
    </row>
    <row r="279">
      <c r="B279" s="72">
        <v>46142.6875</v>
      </c>
      <c r="C279" s="63" t="s">
        <v>25</v>
      </c>
      <c r="D279" s="63" t="s">
        <v>30</v>
      </c>
      <c r="E279" s="63" t="s">
        <v>38</v>
      </c>
      <c r="F279" s="63">
        <v>1</v>
      </c>
    </row>
    <row r="280">
      <c r="B280" s="72">
        <v>46142.6875</v>
      </c>
      <c r="C280" s="63" t="s">
        <v>25</v>
      </c>
      <c r="D280" s="63" t="s">
        <v>31</v>
      </c>
      <c r="E280" s="63" t="s">
        <v>38</v>
      </c>
      <c r="F280" s="63">
        <v>126</v>
      </c>
    </row>
    <row r="281">
      <c r="B281" s="72">
        <v>46142.6875</v>
      </c>
      <c r="C281" s="63" t="s">
        <v>25</v>
      </c>
      <c r="D281" s="63" t="s">
        <v>32</v>
      </c>
      <c r="E281" s="63" t="s">
        <v>38</v>
      </c>
      <c r="F281" s="63">
        <v>0</v>
      </c>
    </row>
    <row r="282">
      <c r="B282" s="72">
        <v>46142.6875</v>
      </c>
      <c r="C282" s="63" t="s">
        <v>26</v>
      </c>
      <c r="D282" s="63" t="s">
        <v>30</v>
      </c>
      <c r="E282" s="63" t="s">
        <v>38</v>
      </c>
      <c r="F282" s="63">
        <v>0</v>
      </c>
    </row>
    <row r="283">
      <c r="B283" s="72">
        <v>46142.6875</v>
      </c>
      <c r="C283" s="63" t="s">
        <v>26</v>
      </c>
      <c r="D283" s="63" t="s">
        <v>35</v>
      </c>
      <c r="E283" s="63" t="s">
        <v>38</v>
      </c>
      <c r="F283" s="63">
        <v>1</v>
      </c>
    </row>
    <row r="284">
      <c r="B284" s="72">
        <v>46142.6875</v>
      </c>
      <c r="C284" s="63" t="s">
        <v>26</v>
      </c>
      <c r="D284" s="63" t="s">
        <v>32</v>
      </c>
      <c r="E284" s="63" t="s">
        <v>38</v>
      </c>
      <c r="F284" s="63">
        <v>0</v>
      </c>
    </row>
    <row r="285">
      <c r="B285" s="72">
        <v>46142.6875</v>
      </c>
      <c r="C285" s="63" t="s">
        <v>27</v>
      </c>
      <c r="D285" s="63" t="s">
        <v>31</v>
      </c>
      <c r="E285" s="63" t="s">
        <v>38</v>
      </c>
      <c r="F285" s="63">
        <v>96</v>
      </c>
    </row>
    <row r="286">
      <c r="B286" s="72">
        <v>46142.6875</v>
      </c>
      <c r="C286" s="63" t="s">
        <v>27</v>
      </c>
      <c r="D286" s="63" t="s">
        <v>35</v>
      </c>
      <c r="E286" s="63" t="s">
        <v>38</v>
      </c>
      <c r="F286" s="63">
        <v>0</v>
      </c>
    </row>
    <row r="287">
      <c r="B287" s="72">
        <v>46142.6875</v>
      </c>
      <c r="C287" s="63" t="s">
        <v>27</v>
      </c>
      <c r="D287" s="63" t="s">
        <v>32</v>
      </c>
      <c r="E287" s="63" t="s">
        <v>38</v>
      </c>
      <c r="F287" s="63">
        <v>0</v>
      </c>
    </row>
    <row r="288">
      <c r="B288" s="72">
        <v>46142.6875</v>
      </c>
      <c r="C288" s="63" t="s">
        <v>25</v>
      </c>
      <c r="D288" s="63" t="s">
        <v>30</v>
      </c>
      <c r="E288" s="63" t="s">
        <v>42</v>
      </c>
      <c r="F288" s="63">
        <v>0</v>
      </c>
    </row>
    <row r="289">
      <c r="B289" s="72">
        <v>46142.6875</v>
      </c>
      <c r="C289" s="63" t="s">
        <v>25</v>
      </c>
      <c r="D289" s="63" t="s">
        <v>31</v>
      </c>
      <c r="E289" s="63" t="s">
        <v>42</v>
      </c>
      <c r="F289" s="63">
        <v>2</v>
      </c>
    </row>
    <row r="290">
      <c r="B290" s="72">
        <v>46142.6875</v>
      </c>
      <c r="C290" s="63" t="s">
        <v>25</v>
      </c>
      <c r="D290" s="63" t="s">
        <v>32</v>
      </c>
      <c r="E290" s="63" t="s">
        <v>42</v>
      </c>
      <c r="F290" s="63">
        <v>0</v>
      </c>
    </row>
    <row r="291">
      <c r="B291" s="72">
        <v>46142.6875</v>
      </c>
      <c r="C291" s="63" t="s">
        <v>26</v>
      </c>
      <c r="D291" s="63" t="s">
        <v>30</v>
      </c>
      <c r="E291" s="63" t="s">
        <v>42</v>
      </c>
      <c r="F291" s="63">
        <v>0</v>
      </c>
    </row>
    <row r="292">
      <c r="B292" s="72">
        <v>46142.6875</v>
      </c>
      <c r="C292" s="63" t="s">
        <v>26</v>
      </c>
      <c r="D292" s="63" t="s">
        <v>35</v>
      </c>
      <c r="E292" s="63" t="s">
        <v>42</v>
      </c>
      <c r="F292" s="63">
        <v>0</v>
      </c>
    </row>
    <row r="293">
      <c r="B293" s="72">
        <v>46142.6875</v>
      </c>
      <c r="C293" s="63" t="s">
        <v>26</v>
      </c>
      <c r="D293" s="63" t="s">
        <v>32</v>
      </c>
      <c r="E293" s="63" t="s">
        <v>42</v>
      </c>
      <c r="F293" s="63">
        <v>0</v>
      </c>
    </row>
    <row r="294">
      <c r="B294" s="72">
        <v>46142.6875</v>
      </c>
      <c r="C294" s="63" t="s">
        <v>27</v>
      </c>
      <c r="D294" s="63" t="s">
        <v>31</v>
      </c>
      <c r="E294" s="63" t="s">
        <v>42</v>
      </c>
      <c r="F294" s="63">
        <v>3</v>
      </c>
    </row>
    <row r="295">
      <c r="B295" s="72">
        <v>46142.6875</v>
      </c>
      <c r="C295" s="63" t="s">
        <v>27</v>
      </c>
      <c r="D295" s="63" t="s">
        <v>35</v>
      </c>
      <c r="E295" s="63" t="s">
        <v>42</v>
      </c>
      <c r="F295" s="63">
        <v>0</v>
      </c>
    </row>
    <row r="296">
      <c r="B296" s="72">
        <v>46142.6875</v>
      </c>
      <c r="C296" s="63" t="s">
        <v>27</v>
      </c>
      <c r="D296" s="63" t="s">
        <v>32</v>
      </c>
      <c r="E296" s="63" t="s">
        <v>42</v>
      </c>
      <c r="F296" s="63">
        <v>0</v>
      </c>
    </row>
    <row r="297">
      <c r="B297" s="72">
        <v>46142.6875</v>
      </c>
      <c r="C297" s="63" t="s">
        <v>25</v>
      </c>
      <c r="D297" s="63" t="s">
        <v>30</v>
      </c>
      <c r="E297" s="63" t="s">
        <v>44</v>
      </c>
      <c r="F297" s="63">
        <v>0</v>
      </c>
    </row>
    <row r="298">
      <c r="B298" s="72">
        <v>46142.6875</v>
      </c>
      <c r="C298" s="63" t="s">
        <v>25</v>
      </c>
      <c r="D298" s="63" t="s">
        <v>31</v>
      </c>
      <c r="E298" s="63" t="s">
        <v>44</v>
      </c>
      <c r="F298" s="63">
        <v>1</v>
      </c>
    </row>
    <row r="299">
      <c r="B299" s="72">
        <v>46142.6875</v>
      </c>
      <c r="C299" s="63" t="s">
        <v>25</v>
      </c>
      <c r="D299" s="63" t="s">
        <v>32</v>
      </c>
      <c r="E299" s="63" t="s">
        <v>44</v>
      </c>
      <c r="F299" s="63">
        <v>0</v>
      </c>
    </row>
    <row r="300">
      <c r="B300" s="72">
        <v>46142.6875</v>
      </c>
      <c r="C300" s="63" t="s">
        <v>26</v>
      </c>
      <c r="D300" s="63" t="s">
        <v>30</v>
      </c>
      <c r="E300" s="63" t="s">
        <v>44</v>
      </c>
      <c r="F300" s="63">
        <v>0</v>
      </c>
    </row>
    <row r="301">
      <c r="B301" s="72">
        <v>46142.6875</v>
      </c>
      <c r="C301" s="63" t="s">
        <v>26</v>
      </c>
      <c r="D301" s="63" t="s">
        <v>35</v>
      </c>
      <c r="E301" s="63" t="s">
        <v>44</v>
      </c>
      <c r="F301" s="63">
        <v>0</v>
      </c>
    </row>
    <row r="302">
      <c r="B302" s="72">
        <v>46142.6875</v>
      </c>
      <c r="C302" s="63" t="s">
        <v>26</v>
      </c>
      <c r="D302" s="63" t="s">
        <v>32</v>
      </c>
      <c r="E302" s="63" t="s">
        <v>44</v>
      </c>
      <c r="F302" s="63">
        <v>0</v>
      </c>
    </row>
    <row r="303">
      <c r="B303" s="72">
        <v>46142.6875</v>
      </c>
      <c r="C303" s="63" t="s">
        <v>27</v>
      </c>
      <c r="D303" s="63" t="s">
        <v>31</v>
      </c>
      <c r="E303" s="63" t="s">
        <v>44</v>
      </c>
      <c r="F303" s="63">
        <v>8</v>
      </c>
    </row>
    <row r="304">
      <c r="B304" s="72">
        <v>46142.6875</v>
      </c>
      <c r="C304" s="63" t="s">
        <v>27</v>
      </c>
      <c r="D304" s="63" t="s">
        <v>35</v>
      </c>
      <c r="E304" s="63" t="s">
        <v>44</v>
      </c>
      <c r="F304" s="63">
        <v>0</v>
      </c>
    </row>
    <row r="305">
      <c r="B305" s="72">
        <v>46142.6875</v>
      </c>
      <c r="C305" s="63" t="s">
        <v>27</v>
      </c>
      <c r="D305" s="63" t="s">
        <v>32</v>
      </c>
      <c r="E305" s="63" t="s">
        <v>44</v>
      </c>
      <c r="F305" s="63">
        <v>0</v>
      </c>
    </row>
    <row r="306">
      <c r="B306" s="72">
        <v>46142.6979166667</v>
      </c>
      <c r="C306" s="63" t="s">
        <v>25</v>
      </c>
      <c r="D306" s="63" t="s">
        <v>30</v>
      </c>
      <c r="E306" s="63" t="s">
        <v>38</v>
      </c>
      <c r="F306" s="63">
        <v>3</v>
      </c>
    </row>
    <row r="307">
      <c r="B307" s="72">
        <v>46142.6979166667</v>
      </c>
      <c r="C307" s="63" t="s">
        <v>25</v>
      </c>
      <c r="D307" s="63" t="s">
        <v>31</v>
      </c>
      <c r="E307" s="63" t="s">
        <v>38</v>
      </c>
      <c r="F307" s="63">
        <v>120</v>
      </c>
    </row>
    <row r="308">
      <c r="B308" s="72">
        <v>46142.6979166667</v>
      </c>
      <c r="C308" s="63" t="s">
        <v>25</v>
      </c>
      <c r="D308" s="63" t="s">
        <v>32</v>
      </c>
      <c r="E308" s="63" t="s">
        <v>38</v>
      </c>
      <c r="F308" s="63">
        <v>0</v>
      </c>
    </row>
    <row r="309">
      <c r="B309" s="72">
        <v>46142.6979166667</v>
      </c>
      <c r="C309" s="63" t="s">
        <v>26</v>
      </c>
      <c r="D309" s="63" t="s">
        <v>30</v>
      </c>
      <c r="E309" s="63" t="s">
        <v>38</v>
      </c>
      <c r="F309" s="63">
        <v>0</v>
      </c>
    </row>
    <row r="310">
      <c r="B310" s="72">
        <v>46142.6979166667</v>
      </c>
      <c r="C310" s="63" t="s">
        <v>26</v>
      </c>
      <c r="D310" s="63" t="s">
        <v>35</v>
      </c>
      <c r="E310" s="63" t="s">
        <v>38</v>
      </c>
      <c r="F310" s="63">
        <v>0</v>
      </c>
    </row>
    <row r="311">
      <c r="B311" s="72">
        <v>46142.6979166667</v>
      </c>
      <c r="C311" s="63" t="s">
        <v>26</v>
      </c>
      <c r="D311" s="63" t="s">
        <v>32</v>
      </c>
      <c r="E311" s="63" t="s">
        <v>38</v>
      </c>
      <c r="F311" s="63">
        <v>0</v>
      </c>
    </row>
    <row r="312">
      <c r="B312" s="72">
        <v>46142.6979166667</v>
      </c>
      <c r="C312" s="63" t="s">
        <v>27</v>
      </c>
      <c r="D312" s="63" t="s">
        <v>31</v>
      </c>
      <c r="E312" s="63" t="s">
        <v>38</v>
      </c>
      <c r="F312" s="63">
        <v>90</v>
      </c>
    </row>
    <row r="313">
      <c r="B313" s="72">
        <v>46142.6979166667</v>
      </c>
      <c r="C313" s="63" t="s">
        <v>27</v>
      </c>
      <c r="D313" s="63" t="s">
        <v>35</v>
      </c>
      <c r="E313" s="63" t="s">
        <v>38</v>
      </c>
      <c r="F313" s="63">
        <v>1</v>
      </c>
    </row>
    <row r="314">
      <c r="B314" s="72">
        <v>46142.6979166667</v>
      </c>
      <c r="C314" s="63" t="s">
        <v>27</v>
      </c>
      <c r="D314" s="63" t="s">
        <v>32</v>
      </c>
      <c r="E314" s="63" t="s">
        <v>38</v>
      </c>
      <c r="F314" s="63">
        <v>0</v>
      </c>
    </row>
    <row r="315">
      <c r="B315" s="72">
        <v>46142.6979166667</v>
      </c>
      <c r="C315" s="63" t="s">
        <v>25</v>
      </c>
      <c r="D315" s="63" t="s">
        <v>30</v>
      </c>
      <c r="E315" s="63" t="s">
        <v>42</v>
      </c>
      <c r="F315" s="63">
        <v>0</v>
      </c>
    </row>
    <row r="316">
      <c r="B316" s="72">
        <v>46142.6979166667</v>
      </c>
      <c r="C316" s="63" t="s">
        <v>25</v>
      </c>
      <c r="D316" s="63" t="s">
        <v>31</v>
      </c>
      <c r="E316" s="63" t="s">
        <v>42</v>
      </c>
      <c r="F316" s="63">
        <v>1</v>
      </c>
    </row>
    <row r="317">
      <c r="B317" s="72">
        <v>46142.6979166667</v>
      </c>
      <c r="C317" s="63" t="s">
        <v>25</v>
      </c>
      <c r="D317" s="63" t="s">
        <v>32</v>
      </c>
      <c r="E317" s="63" t="s">
        <v>42</v>
      </c>
      <c r="F317" s="63">
        <v>0</v>
      </c>
    </row>
    <row r="318">
      <c r="B318" s="72">
        <v>46142.6979166667</v>
      </c>
      <c r="C318" s="63" t="s">
        <v>26</v>
      </c>
      <c r="D318" s="63" t="s">
        <v>30</v>
      </c>
      <c r="E318" s="63" t="s">
        <v>42</v>
      </c>
      <c r="F318" s="63">
        <v>0</v>
      </c>
    </row>
    <row r="319">
      <c r="B319" s="72">
        <v>46142.6979166667</v>
      </c>
      <c r="C319" s="63" t="s">
        <v>26</v>
      </c>
      <c r="D319" s="63" t="s">
        <v>35</v>
      </c>
      <c r="E319" s="63" t="s">
        <v>42</v>
      </c>
      <c r="F319" s="63">
        <v>0</v>
      </c>
    </row>
    <row r="320">
      <c r="B320" s="72">
        <v>46142.6979166667</v>
      </c>
      <c r="C320" s="63" t="s">
        <v>26</v>
      </c>
      <c r="D320" s="63" t="s">
        <v>32</v>
      </c>
      <c r="E320" s="63" t="s">
        <v>42</v>
      </c>
      <c r="F320" s="63">
        <v>0</v>
      </c>
    </row>
    <row r="321">
      <c r="B321" s="72">
        <v>46142.6979166667</v>
      </c>
      <c r="C321" s="63" t="s">
        <v>27</v>
      </c>
      <c r="D321" s="63" t="s">
        <v>31</v>
      </c>
      <c r="E321" s="63" t="s">
        <v>42</v>
      </c>
      <c r="F321" s="63">
        <v>2</v>
      </c>
    </row>
    <row r="322">
      <c r="B322" s="72">
        <v>46142.6979166667</v>
      </c>
      <c r="C322" s="63" t="s">
        <v>27</v>
      </c>
      <c r="D322" s="63" t="s">
        <v>35</v>
      </c>
      <c r="E322" s="63" t="s">
        <v>42</v>
      </c>
      <c r="F322" s="63">
        <v>0</v>
      </c>
    </row>
    <row r="323">
      <c r="B323" s="72">
        <v>46142.6979166667</v>
      </c>
      <c r="C323" s="63" t="s">
        <v>27</v>
      </c>
      <c r="D323" s="63" t="s">
        <v>32</v>
      </c>
      <c r="E323" s="63" t="s">
        <v>42</v>
      </c>
      <c r="F323" s="63">
        <v>0</v>
      </c>
    </row>
    <row r="324">
      <c r="B324" s="72">
        <v>46142.6979166667</v>
      </c>
      <c r="C324" s="63" t="s">
        <v>25</v>
      </c>
      <c r="D324" s="63" t="s">
        <v>30</v>
      </c>
      <c r="E324" s="63" t="s">
        <v>44</v>
      </c>
      <c r="F324" s="63">
        <v>0</v>
      </c>
    </row>
    <row r="325">
      <c r="B325" s="72">
        <v>46142.6979166667</v>
      </c>
      <c r="C325" s="63" t="s">
        <v>25</v>
      </c>
      <c r="D325" s="63" t="s">
        <v>31</v>
      </c>
      <c r="E325" s="63" t="s">
        <v>44</v>
      </c>
      <c r="F325" s="63">
        <v>4</v>
      </c>
    </row>
    <row r="326">
      <c r="B326" s="72">
        <v>46142.6979166667</v>
      </c>
      <c r="C326" s="63" t="s">
        <v>25</v>
      </c>
      <c r="D326" s="63" t="s">
        <v>32</v>
      </c>
      <c r="E326" s="63" t="s">
        <v>44</v>
      </c>
      <c r="F326" s="63">
        <v>0</v>
      </c>
    </row>
    <row r="327">
      <c r="B327" s="72">
        <v>46142.6979166667</v>
      </c>
      <c r="C327" s="63" t="s">
        <v>26</v>
      </c>
      <c r="D327" s="63" t="s">
        <v>30</v>
      </c>
      <c r="E327" s="63" t="s">
        <v>44</v>
      </c>
      <c r="F327" s="63">
        <v>0</v>
      </c>
    </row>
    <row r="328">
      <c r="B328" s="72">
        <v>46142.6979166667</v>
      </c>
      <c r="C328" s="63" t="s">
        <v>26</v>
      </c>
      <c r="D328" s="63" t="s">
        <v>35</v>
      </c>
      <c r="E328" s="63" t="s">
        <v>44</v>
      </c>
      <c r="F328" s="63">
        <v>0</v>
      </c>
    </row>
    <row r="329">
      <c r="B329" s="72">
        <v>46142.6979166667</v>
      </c>
      <c r="C329" s="63" t="s">
        <v>26</v>
      </c>
      <c r="D329" s="63" t="s">
        <v>32</v>
      </c>
      <c r="E329" s="63" t="s">
        <v>44</v>
      </c>
      <c r="F329" s="63">
        <v>0</v>
      </c>
    </row>
    <row r="330">
      <c r="B330" s="72">
        <v>46142.6979166667</v>
      </c>
      <c r="C330" s="63" t="s">
        <v>27</v>
      </c>
      <c r="D330" s="63" t="s">
        <v>31</v>
      </c>
      <c r="E330" s="63" t="s">
        <v>44</v>
      </c>
      <c r="F330" s="63">
        <v>0</v>
      </c>
    </row>
    <row r="331">
      <c r="B331" s="72">
        <v>46142.6979166667</v>
      </c>
      <c r="C331" s="63" t="s">
        <v>27</v>
      </c>
      <c r="D331" s="63" t="s">
        <v>35</v>
      </c>
      <c r="E331" s="63" t="s">
        <v>44</v>
      </c>
      <c r="F331" s="63">
        <v>0</v>
      </c>
    </row>
    <row r="332">
      <c r="B332" s="72">
        <v>46142.6979166667</v>
      </c>
      <c r="C332" s="63" t="s">
        <v>27</v>
      </c>
      <c r="D332" s="63" t="s">
        <v>32</v>
      </c>
      <c r="E332" s="63" t="s">
        <v>44</v>
      </c>
      <c r="F332" s="63">
        <v>0</v>
      </c>
    </row>
    <row r="333">
      <c r="B333" s="72">
        <v>46142.7083333333</v>
      </c>
      <c r="C333" s="63" t="s">
        <v>25</v>
      </c>
      <c r="D333" s="63" t="s">
        <v>30</v>
      </c>
      <c r="E333" s="63" t="s">
        <v>38</v>
      </c>
      <c r="F333" s="63">
        <v>4</v>
      </c>
    </row>
    <row r="334">
      <c r="B334" s="72">
        <v>46142.7083333333</v>
      </c>
      <c r="C334" s="63" t="s">
        <v>25</v>
      </c>
      <c r="D334" s="63" t="s">
        <v>31</v>
      </c>
      <c r="E334" s="63" t="s">
        <v>38</v>
      </c>
      <c r="F334" s="63">
        <v>153</v>
      </c>
    </row>
    <row r="335">
      <c r="B335" s="72">
        <v>46142.7083333333</v>
      </c>
      <c r="C335" s="63" t="s">
        <v>25</v>
      </c>
      <c r="D335" s="63" t="s">
        <v>32</v>
      </c>
      <c r="E335" s="63" t="s">
        <v>38</v>
      </c>
      <c r="F335" s="63">
        <v>0</v>
      </c>
    </row>
    <row r="336">
      <c r="B336" s="72">
        <v>46142.7083333333</v>
      </c>
      <c r="C336" s="63" t="s">
        <v>26</v>
      </c>
      <c r="D336" s="63" t="s">
        <v>30</v>
      </c>
      <c r="E336" s="63" t="s">
        <v>38</v>
      </c>
      <c r="F336" s="63">
        <v>0</v>
      </c>
    </row>
    <row r="337">
      <c r="B337" s="72">
        <v>46142.7083333333</v>
      </c>
      <c r="C337" s="63" t="s">
        <v>26</v>
      </c>
      <c r="D337" s="63" t="s">
        <v>35</v>
      </c>
      <c r="E337" s="63" t="s">
        <v>38</v>
      </c>
      <c r="F337" s="63">
        <v>4</v>
      </c>
    </row>
    <row r="338">
      <c r="B338" s="72">
        <v>46142.7083333333</v>
      </c>
      <c r="C338" s="63" t="s">
        <v>26</v>
      </c>
      <c r="D338" s="63" t="s">
        <v>32</v>
      </c>
      <c r="E338" s="63" t="s">
        <v>38</v>
      </c>
      <c r="F338" s="63">
        <v>0</v>
      </c>
    </row>
    <row r="339">
      <c r="B339" s="72">
        <v>46142.7083333333</v>
      </c>
      <c r="C339" s="63" t="s">
        <v>27</v>
      </c>
      <c r="D339" s="63" t="s">
        <v>31</v>
      </c>
      <c r="E339" s="63" t="s">
        <v>38</v>
      </c>
      <c r="F339" s="63">
        <v>91</v>
      </c>
    </row>
    <row r="340">
      <c r="B340" s="72">
        <v>46142.7083333333</v>
      </c>
      <c r="C340" s="63" t="s">
        <v>27</v>
      </c>
      <c r="D340" s="63" t="s">
        <v>35</v>
      </c>
      <c r="E340" s="63" t="s">
        <v>38</v>
      </c>
      <c r="F340" s="63">
        <v>0</v>
      </c>
    </row>
    <row r="341">
      <c r="B341" s="72">
        <v>46142.7083333333</v>
      </c>
      <c r="C341" s="63" t="s">
        <v>27</v>
      </c>
      <c r="D341" s="63" t="s">
        <v>32</v>
      </c>
      <c r="E341" s="63" t="s">
        <v>38</v>
      </c>
      <c r="F341" s="63">
        <v>0</v>
      </c>
    </row>
    <row r="342">
      <c r="B342" s="72">
        <v>46142.7083333333</v>
      </c>
      <c r="C342" s="63" t="s">
        <v>25</v>
      </c>
      <c r="D342" s="63" t="s">
        <v>30</v>
      </c>
      <c r="E342" s="63" t="s">
        <v>42</v>
      </c>
      <c r="F342" s="63">
        <v>0</v>
      </c>
    </row>
    <row r="343">
      <c r="B343" s="72">
        <v>46142.7083333333</v>
      </c>
      <c r="C343" s="63" t="s">
        <v>25</v>
      </c>
      <c r="D343" s="63" t="s">
        <v>31</v>
      </c>
      <c r="E343" s="63" t="s">
        <v>42</v>
      </c>
      <c r="F343" s="63">
        <v>2</v>
      </c>
    </row>
    <row r="344">
      <c r="B344" s="72">
        <v>46142.7083333333</v>
      </c>
      <c r="C344" s="63" t="s">
        <v>25</v>
      </c>
      <c r="D344" s="63" t="s">
        <v>32</v>
      </c>
      <c r="E344" s="63" t="s">
        <v>42</v>
      </c>
      <c r="F344" s="63">
        <v>0</v>
      </c>
    </row>
    <row r="345">
      <c r="B345" s="72">
        <v>46142.7083333333</v>
      </c>
      <c r="C345" s="63" t="s">
        <v>26</v>
      </c>
      <c r="D345" s="63" t="s">
        <v>30</v>
      </c>
      <c r="E345" s="63" t="s">
        <v>42</v>
      </c>
      <c r="F345" s="63">
        <v>0</v>
      </c>
    </row>
    <row r="346">
      <c r="B346" s="72">
        <v>46142.7083333333</v>
      </c>
      <c r="C346" s="63" t="s">
        <v>26</v>
      </c>
      <c r="D346" s="63" t="s">
        <v>35</v>
      </c>
      <c r="E346" s="63" t="s">
        <v>42</v>
      </c>
      <c r="F346" s="63">
        <v>0</v>
      </c>
    </row>
    <row r="347">
      <c r="B347" s="72">
        <v>46142.7083333333</v>
      </c>
      <c r="C347" s="63" t="s">
        <v>26</v>
      </c>
      <c r="D347" s="63" t="s">
        <v>32</v>
      </c>
      <c r="E347" s="63" t="s">
        <v>42</v>
      </c>
      <c r="F347" s="63">
        <v>0</v>
      </c>
    </row>
    <row r="348">
      <c r="B348" s="72">
        <v>46142.7083333333</v>
      </c>
      <c r="C348" s="63" t="s">
        <v>27</v>
      </c>
      <c r="D348" s="63" t="s">
        <v>31</v>
      </c>
      <c r="E348" s="63" t="s">
        <v>42</v>
      </c>
      <c r="F348" s="63">
        <v>2</v>
      </c>
    </row>
    <row r="349">
      <c r="B349" s="72">
        <v>46142.7083333333</v>
      </c>
      <c r="C349" s="63" t="s">
        <v>27</v>
      </c>
      <c r="D349" s="63" t="s">
        <v>35</v>
      </c>
      <c r="E349" s="63" t="s">
        <v>42</v>
      </c>
      <c r="F349" s="63">
        <v>0</v>
      </c>
    </row>
    <row r="350">
      <c r="B350" s="72">
        <v>46142.7083333333</v>
      </c>
      <c r="C350" s="63" t="s">
        <v>27</v>
      </c>
      <c r="D350" s="63" t="s">
        <v>32</v>
      </c>
      <c r="E350" s="63" t="s">
        <v>42</v>
      </c>
      <c r="F350" s="63">
        <v>0</v>
      </c>
    </row>
    <row r="351">
      <c r="B351" s="72">
        <v>46142.7083333333</v>
      </c>
      <c r="C351" s="63" t="s">
        <v>25</v>
      </c>
      <c r="D351" s="63" t="s">
        <v>30</v>
      </c>
      <c r="E351" s="63" t="s">
        <v>44</v>
      </c>
      <c r="F351" s="63">
        <v>0</v>
      </c>
    </row>
    <row r="352">
      <c r="B352" s="72">
        <v>46142.7083333333</v>
      </c>
      <c r="C352" s="63" t="s">
        <v>25</v>
      </c>
      <c r="D352" s="63" t="s">
        <v>31</v>
      </c>
      <c r="E352" s="63" t="s">
        <v>44</v>
      </c>
      <c r="F352" s="63">
        <v>5</v>
      </c>
    </row>
    <row r="353">
      <c r="B353" s="72">
        <v>46142.7083333333</v>
      </c>
      <c r="C353" s="63" t="s">
        <v>25</v>
      </c>
      <c r="D353" s="63" t="s">
        <v>32</v>
      </c>
      <c r="E353" s="63" t="s">
        <v>44</v>
      </c>
      <c r="F353" s="63">
        <v>0</v>
      </c>
    </row>
    <row r="354">
      <c r="B354" s="72">
        <v>46142.7083333333</v>
      </c>
      <c r="C354" s="63" t="s">
        <v>26</v>
      </c>
      <c r="D354" s="63" t="s">
        <v>30</v>
      </c>
      <c r="E354" s="63" t="s">
        <v>44</v>
      </c>
      <c r="F354" s="63">
        <v>0</v>
      </c>
    </row>
    <row r="355">
      <c r="B355" s="72">
        <v>46142.7083333333</v>
      </c>
      <c r="C355" s="63" t="s">
        <v>26</v>
      </c>
      <c r="D355" s="63" t="s">
        <v>35</v>
      </c>
      <c r="E355" s="63" t="s">
        <v>44</v>
      </c>
      <c r="F355" s="63">
        <v>0</v>
      </c>
    </row>
    <row r="356">
      <c r="B356" s="72">
        <v>46142.7083333333</v>
      </c>
      <c r="C356" s="63" t="s">
        <v>26</v>
      </c>
      <c r="D356" s="63" t="s">
        <v>32</v>
      </c>
      <c r="E356" s="63" t="s">
        <v>44</v>
      </c>
      <c r="F356" s="63">
        <v>0</v>
      </c>
    </row>
    <row r="357">
      <c r="B357" s="72">
        <v>46142.7083333333</v>
      </c>
      <c r="C357" s="63" t="s">
        <v>27</v>
      </c>
      <c r="D357" s="63" t="s">
        <v>31</v>
      </c>
      <c r="E357" s="63" t="s">
        <v>44</v>
      </c>
      <c r="F357" s="63">
        <v>1</v>
      </c>
    </row>
    <row r="358">
      <c r="B358" s="72">
        <v>46142.7083333333</v>
      </c>
      <c r="C358" s="63" t="s">
        <v>27</v>
      </c>
      <c r="D358" s="63" t="s">
        <v>35</v>
      </c>
      <c r="E358" s="63" t="s">
        <v>44</v>
      </c>
      <c r="F358" s="63">
        <v>0</v>
      </c>
    </row>
    <row r="359">
      <c r="B359" s="72">
        <v>46142.7083333333</v>
      </c>
      <c r="C359" s="63" t="s">
        <v>27</v>
      </c>
      <c r="D359" s="63" t="s">
        <v>32</v>
      </c>
      <c r="E359" s="63" t="s">
        <v>44</v>
      </c>
      <c r="F359" s="63">
        <v>0</v>
      </c>
    </row>
    <row r="360">
      <c r="B360" s="72">
        <v>46142.71875</v>
      </c>
      <c r="C360" s="63" t="s">
        <v>25</v>
      </c>
      <c r="D360" s="63" t="s">
        <v>30</v>
      </c>
      <c r="E360" s="63" t="s">
        <v>38</v>
      </c>
      <c r="F360" s="63">
        <v>5</v>
      </c>
    </row>
    <row r="361">
      <c r="B361" s="72">
        <v>46142.71875</v>
      </c>
      <c r="C361" s="63" t="s">
        <v>25</v>
      </c>
      <c r="D361" s="63" t="s">
        <v>31</v>
      </c>
      <c r="E361" s="63" t="s">
        <v>38</v>
      </c>
      <c r="F361" s="63">
        <v>157</v>
      </c>
    </row>
    <row r="362">
      <c r="B362" s="72">
        <v>46142.71875</v>
      </c>
      <c r="C362" s="63" t="s">
        <v>25</v>
      </c>
      <c r="D362" s="63" t="s">
        <v>32</v>
      </c>
      <c r="E362" s="63" t="s">
        <v>38</v>
      </c>
      <c r="F362" s="63">
        <v>0</v>
      </c>
    </row>
    <row r="363">
      <c r="B363" s="72">
        <v>46142.71875</v>
      </c>
      <c r="C363" s="63" t="s">
        <v>26</v>
      </c>
      <c r="D363" s="63" t="s">
        <v>30</v>
      </c>
      <c r="E363" s="63" t="s">
        <v>38</v>
      </c>
      <c r="F363" s="63">
        <v>0</v>
      </c>
    </row>
    <row r="364">
      <c r="B364" s="72">
        <v>46142.71875</v>
      </c>
      <c r="C364" s="63" t="s">
        <v>26</v>
      </c>
      <c r="D364" s="63" t="s">
        <v>35</v>
      </c>
      <c r="E364" s="63" t="s">
        <v>38</v>
      </c>
      <c r="F364" s="63">
        <v>3</v>
      </c>
    </row>
    <row r="365">
      <c r="B365" s="72">
        <v>46142.71875</v>
      </c>
      <c r="C365" s="63" t="s">
        <v>26</v>
      </c>
      <c r="D365" s="63" t="s">
        <v>32</v>
      </c>
      <c r="E365" s="63" t="s">
        <v>38</v>
      </c>
      <c r="F365" s="63">
        <v>0</v>
      </c>
    </row>
    <row r="366">
      <c r="B366" s="72">
        <v>46142.71875</v>
      </c>
      <c r="C366" s="63" t="s">
        <v>27</v>
      </c>
      <c r="D366" s="63" t="s">
        <v>31</v>
      </c>
      <c r="E366" s="63" t="s">
        <v>38</v>
      </c>
      <c r="F366" s="63">
        <v>84</v>
      </c>
    </row>
    <row r="367">
      <c r="B367" s="72">
        <v>46142.71875</v>
      </c>
      <c r="C367" s="63" t="s">
        <v>27</v>
      </c>
      <c r="D367" s="63" t="s">
        <v>35</v>
      </c>
      <c r="E367" s="63" t="s">
        <v>38</v>
      </c>
      <c r="F367" s="63">
        <v>0</v>
      </c>
    </row>
    <row r="368">
      <c r="B368" s="72">
        <v>46142.71875</v>
      </c>
      <c r="C368" s="63" t="s">
        <v>27</v>
      </c>
      <c r="D368" s="63" t="s">
        <v>32</v>
      </c>
      <c r="E368" s="63" t="s">
        <v>38</v>
      </c>
      <c r="F368" s="63">
        <v>0</v>
      </c>
    </row>
    <row r="369">
      <c r="B369" s="72">
        <v>46142.71875</v>
      </c>
      <c r="C369" s="63" t="s">
        <v>25</v>
      </c>
      <c r="D369" s="63" t="s">
        <v>30</v>
      </c>
      <c r="E369" s="63" t="s">
        <v>42</v>
      </c>
      <c r="F369" s="63">
        <v>0</v>
      </c>
    </row>
    <row r="370">
      <c r="B370" s="72">
        <v>46142.71875</v>
      </c>
      <c r="C370" s="63" t="s">
        <v>25</v>
      </c>
      <c r="D370" s="63" t="s">
        <v>31</v>
      </c>
      <c r="E370" s="63" t="s">
        <v>42</v>
      </c>
      <c r="F370" s="63">
        <v>3</v>
      </c>
    </row>
    <row r="371">
      <c r="B371" s="72">
        <v>46142.71875</v>
      </c>
      <c r="C371" s="63" t="s">
        <v>25</v>
      </c>
      <c r="D371" s="63" t="s">
        <v>32</v>
      </c>
      <c r="E371" s="63" t="s">
        <v>42</v>
      </c>
      <c r="F371" s="63">
        <v>0</v>
      </c>
    </row>
    <row r="372">
      <c r="B372" s="72">
        <v>46142.71875</v>
      </c>
      <c r="C372" s="63" t="s">
        <v>26</v>
      </c>
      <c r="D372" s="63" t="s">
        <v>30</v>
      </c>
      <c r="E372" s="63" t="s">
        <v>42</v>
      </c>
      <c r="F372" s="63">
        <v>0</v>
      </c>
    </row>
    <row r="373">
      <c r="B373" s="72">
        <v>46142.71875</v>
      </c>
      <c r="C373" s="63" t="s">
        <v>26</v>
      </c>
      <c r="D373" s="63" t="s">
        <v>35</v>
      </c>
      <c r="E373" s="63" t="s">
        <v>42</v>
      </c>
      <c r="F373" s="63">
        <v>0</v>
      </c>
    </row>
    <row r="374">
      <c r="B374" s="72">
        <v>46142.71875</v>
      </c>
      <c r="C374" s="63" t="s">
        <v>26</v>
      </c>
      <c r="D374" s="63" t="s">
        <v>32</v>
      </c>
      <c r="E374" s="63" t="s">
        <v>42</v>
      </c>
      <c r="F374" s="63">
        <v>0</v>
      </c>
    </row>
    <row r="375">
      <c r="B375" s="72">
        <v>46142.71875</v>
      </c>
      <c r="C375" s="63" t="s">
        <v>27</v>
      </c>
      <c r="D375" s="63" t="s">
        <v>31</v>
      </c>
      <c r="E375" s="63" t="s">
        <v>42</v>
      </c>
      <c r="F375" s="63">
        <v>2</v>
      </c>
    </row>
    <row r="376">
      <c r="B376" s="72">
        <v>46142.71875</v>
      </c>
      <c r="C376" s="63" t="s">
        <v>27</v>
      </c>
      <c r="D376" s="63" t="s">
        <v>35</v>
      </c>
      <c r="E376" s="63" t="s">
        <v>42</v>
      </c>
      <c r="F376" s="63">
        <v>0</v>
      </c>
    </row>
    <row r="377">
      <c r="B377" s="72">
        <v>46142.71875</v>
      </c>
      <c r="C377" s="63" t="s">
        <v>27</v>
      </c>
      <c r="D377" s="63" t="s">
        <v>32</v>
      </c>
      <c r="E377" s="63" t="s">
        <v>42</v>
      </c>
      <c r="F377" s="63">
        <v>0</v>
      </c>
    </row>
    <row r="378">
      <c r="B378" s="72">
        <v>46142.71875</v>
      </c>
      <c r="C378" s="63" t="s">
        <v>25</v>
      </c>
      <c r="D378" s="63" t="s">
        <v>30</v>
      </c>
      <c r="E378" s="63" t="s">
        <v>44</v>
      </c>
      <c r="F378" s="63">
        <v>0</v>
      </c>
    </row>
    <row r="379">
      <c r="B379" s="72">
        <v>46142.71875</v>
      </c>
      <c r="C379" s="63" t="s">
        <v>25</v>
      </c>
      <c r="D379" s="63" t="s">
        <v>31</v>
      </c>
      <c r="E379" s="63" t="s">
        <v>44</v>
      </c>
      <c r="F379" s="63">
        <v>1</v>
      </c>
    </row>
    <row r="380">
      <c r="B380" s="72">
        <v>46142.71875</v>
      </c>
      <c r="C380" s="63" t="s">
        <v>25</v>
      </c>
      <c r="D380" s="63" t="s">
        <v>32</v>
      </c>
      <c r="E380" s="63" t="s">
        <v>44</v>
      </c>
      <c r="F380" s="63">
        <v>0</v>
      </c>
    </row>
    <row r="381">
      <c r="B381" s="72">
        <v>46142.71875</v>
      </c>
      <c r="C381" s="63" t="s">
        <v>26</v>
      </c>
      <c r="D381" s="63" t="s">
        <v>30</v>
      </c>
      <c r="E381" s="63" t="s">
        <v>44</v>
      </c>
      <c r="F381" s="63">
        <v>0</v>
      </c>
    </row>
    <row r="382">
      <c r="B382" s="72">
        <v>46142.71875</v>
      </c>
      <c r="C382" s="63" t="s">
        <v>26</v>
      </c>
      <c r="D382" s="63" t="s">
        <v>35</v>
      </c>
      <c r="E382" s="63" t="s">
        <v>44</v>
      </c>
      <c r="F382" s="63">
        <v>0</v>
      </c>
    </row>
    <row r="383">
      <c r="B383" s="72">
        <v>46142.71875</v>
      </c>
      <c r="C383" s="63" t="s">
        <v>26</v>
      </c>
      <c r="D383" s="63" t="s">
        <v>32</v>
      </c>
      <c r="E383" s="63" t="s">
        <v>44</v>
      </c>
      <c r="F383" s="63">
        <v>0</v>
      </c>
    </row>
    <row r="384">
      <c r="B384" s="72">
        <v>46142.71875</v>
      </c>
      <c r="C384" s="63" t="s">
        <v>27</v>
      </c>
      <c r="D384" s="63" t="s">
        <v>31</v>
      </c>
      <c r="E384" s="63" t="s">
        <v>44</v>
      </c>
      <c r="F384" s="63">
        <v>0</v>
      </c>
    </row>
    <row r="385">
      <c r="B385" s="72">
        <v>46142.71875</v>
      </c>
      <c r="C385" s="63" t="s">
        <v>27</v>
      </c>
      <c r="D385" s="63" t="s">
        <v>35</v>
      </c>
      <c r="E385" s="63" t="s">
        <v>44</v>
      </c>
      <c r="F385" s="63">
        <v>0</v>
      </c>
    </row>
    <row r="386">
      <c r="B386" s="72">
        <v>46142.71875</v>
      </c>
      <c r="C386" s="63" t="s">
        <v>27</v>
      </c>
      <c r="D386" s="63" t="s">
        <v>32</v>
      </c>
      <c r="E386" s="63" t="s">
        <v>44</v>
      </c>
      <c r="F386" s="63">
        <v>0</v>
      </c>
    </row>
    <row r="387">
      <c r="B387" s="72">
        <v>46142.7291666667</v>
      </c>
      <c r="C387" s="63" t="s">
        <v>25</v>
      </c>
      <c r="D387" s="63" t="s">
        <v>30</v>
      </c>
      <c r="E387" s="63" t="s">
        <v>38</v>
      </c>
      <c r="F387" s="63">
        <v>3</v>
      </c>
    </row>
    <row r="388">
      <c r="B388" s="72">
        <v>46142.7291666667</v>
      </c>
      <c r="C388" s="63" t="s">
        <v>25</v>
      </c>
      <c r="D388" s="63" t="s">
        <v>31</v>
      </c>
      <c r="E388" s="63" t="s">
        <v>38</v>
      </c>
      <c r="F388" s="63">
        <v>136</v>
      </c>
    </row>
    <row r="389">
      <c r="B389" s="72">
        <v>46142.7291666667</v>
      </c>
      <c r="C389" s="63" t="s">
        <v>25</v>
      </c>
      <c r="D389" s="63" t="s">
        <v>32</v>
      </c>
      <c r="E389" s="63" t="s">
        <v>38</v>
      </c>
      <c r="F389" s="63">
        <v>0</v>
      </c>
    </row>
    <row r="390">
      <c r="B390" s="72">
        <v>46142.7291666667</v>
      </c>
      <c r="C390" s="63" t="s">
        <v>26</v>
      </c>
      <c r="D390" s="63" t="s">
        <v>30</v>
      </c>
      <c r="E390" s="63" t="s">
        <v>38</v>
      </c>
      <c r="F390" s="63">
        <v>0</v>
      </c>
    </row>
    <row r="391">
      <c r="B391" s="72">
        <v>46142.7291666667</v>
      </c>
      <c r="C391" s="63" t="s">
        <v>26</v>
      </c>
      <c r="D391" s="63" t="s">
        <v>35</v>
      </c>
      <c r="E391" s="63" t="s">
        <v>38</v>
      </c>
      <c r="F391" s="63">
        <v>1</v>
      </c>
    </row>
    <row r="392">
      <c r="B392" s="72">
        <v>46142.7291666667</v>
      </c>
      <c r="C392" s="63" t="s">
        <v>26</v>
      </c>
      <c r="D392" s="63" t="s">
        <v>32</v>
      </c>
      <c r="E392" s="63" t="s">
        <v>38</v>
      </c>
      <c r="F392" s="63">
        <v>0</v>
      </c>
    </row>
    <row r="393">
      <c r="B393" s="72">
        <v>46142.7291666667</v>
      </c>
      <c r="C393" s="63" t="s">
        <v>27</v>
      </c>
      <c r="D393" s="63" t="s">
        <v>31</v>
      </c>
      <c r="E393" s="63" t="s">
        <v>38</v>
      </c>
      <c r="F393" s="63">
        <v>81</v>
      </c>
    </row>
    <row r="394">
      <c r="B394" s="72">
        <v>46142.7291666667</v>
      </c>
      <c r="C394" s="63" t="s">
        <v>27</v>
      </c>
      <c r="D394" s="63" t="s">
        <v>35</v>
      </c>
      <c r="E394" s="63" t="s">
        <v>38</v>
      </c>
      <c r="F394" s="63">
        <v>0</v>
      </c>
    </row>
    <row r="395">
      <c r="B395" s="72">
        <v>46142.7291666667</v>
      </c>
      <c r="C395" s="63" t="s">
        <v>27</v>
      </c>
      <c r="D395" s="63" t="s">
        <v>32</v>
      </c>
      <c r="E395" s="63" t="s">
        <v>38</v>
      </c>
      <c r="F395" s="63">
        <v>0</v>
      </c>
    </row>
    <row r="396">
      <c r="B396" s="72">
        <v>46142.7291666667</v>
      </c>
      <c r="C396" s="63" t="s">
        <v>25</v>
      </c>
      <c r="D396" s="63" t="s">
        <v>30</v>
      </c>
      <c r="E396" s="63" t="s">
        <v>42</v>
      </c>
      <c r="F396" s="63">
        <v>0</v>
      </c>
    </row>
    <row r="397">
      <c r="B397" s="72">
        <v>46142.7291666667</v>
      </c>
      <c r="C397" s="63" t="s">
        <v>25</v>
      </c>
      <c r="D397" s="63" t="s">
        <v>31</v>
      </c>
      <c r="E397" s="63" t="s">
        <v>42</v>
      </c>
      <c r="F397" s="63">
        <v>2</v>
      </c>
    </row>
    <row r="398">
      <c r="B398" s="72">
        <v>46142.7291666667</v>
      </c>
      <c r="C398" s="63" t="s">
        <v>25</v>
      </c>
      <c r="D398" s="63" t="s">
        <v>32</v>
      </c>
      <c r="E398" s="63" t="s">
        <v>42</v>
      </c>
      <c r="F398" s="63">
        <v>0</v>
      </c>
    </row>
    <row r="399">
      <c r="B399" s="72">
        <v>46142.7291666667</v>
      </c>
      <c r="C399" s="63" t="s">
        <v>26</v>
      </c>
      <c r="D399" s="63" t="s">
        <v>30</v>
      </c>
      <c r="E399" s="63" t="s">
        <v>42</v>
      </c>
      <c r="F399" s="63">
        <v>0</v>
      </c>
    </row>
    <row r="400">
      <c r="B400" s="72">
        <v>46142.7291666667</v>
      </c>
      <c r="C400" s="63" t="s">
        <v>26</v>
      </c>
      <c r="D400" s="63" t="s">
        <v>35</v>
      </c>
      <c r="E400" s="63" t="s">
        <v>42</v>
      </c>
      <c r="F400" s="63">
        <v>0</v>
      </c>
    </row>
    <row r="401">
      <c r="B401" s="72">
        <v>46142.7291666667</v>
      </c>
      <c r="C401" s="63" t="s">
        <v>26</v>
      </c>
      <c r="D401" s="63" t="s">
        <v>32</v>
      </c>
      <c r="E401" s="63" t="s">
        <v>42</v>
      </c>
      <c r="F401" s="63">
        <v>0</v>
      </c>
    </row>
    <row r="402">
      <c r="B402" s="72">
        <v>46142.7291666667</v>
      </c>
      <c r="C402" s="63" t="s">
        <v>27</v>
      </c>
      <c r="D402" s="63" t="s">
        <v>31</v>
      </c>
      <c r="E402" s="63" t="s">
        <v>42</v>
      </c>
      <c r="F402" s="63">
        <v>1</v>
      </c>
    </row>
    <row r="403">
      <c r="B403" s="72">
        <v>46142.7291666667</v>
      </c>
      <c r="C403" s="63" t="s">
        <v>27</v>
      </c>
      <c r="D403" s="63" t="s">
        <v>35</v>
      </c>
      <c r="E403" s="63" t="s">
        <v>42</v>
      </c>
      <c r="F403" s="63">
        <v>0</v>
      </c>
    </row>
    <row r="404">
      <c r="B404" s="72">
        <v>46142.7291666667</v>
      </c>
      <c r="C404" s="63" t="s">
        <v>27</v>
      </c>
      <c r="D404" s="63" t="s">
        <v>32</v>
      </c>
      <c r="E404" s="63" t="s">
        <v>42</v>
      </c>
      <c r="F404" s="63">
        <v>0</v>
      </c>
    </row>
    <row r="405">
      <c r="B405" s="72">
        <v>46142.7291666667</v>
      </c>
      <c r="C405" s="63" t="s">
        <v>25</v>
      </c>
      <c r="D405" s="63" t="s">
        <v>30</v>
      </c>
      <c r="E405" s="63" t="s">
        <v>44</v>
      </c>
      <c r="F405" s="63">
        <v>0</v>
      </c>
    </row>
    <row r="406">
      <c r="B406" s="72">
        <v>46142.7291666667</v>
      </c>
      <c r="C406" s="63" t="s">
        <v>25</v>
      </c>
      <c r="D406" s="63" t="s">
        <v>31</v>
      </c>
      <c r="E406" s="63" t="s">
        <v>44</v>
      </c>
      <c r="F406" s="63">
        <v>0</v>
      </c>
    </row>
    <row r="407">
      <c r="B407" s="72">
        <v>46142.7291666667</v>
      </c>
      <c r="C407" s="63" t="s">
        <v>25</v>
      </c>
      <c r="D407" s="63" t="s">
        <v>32</v>
      </c>
      <c r="E407" s="63" t="s">
        <v>44</v>
      </c>
      <c r="F407" s="63">
        <v>0</v>
      </c>
    </row>
    <row r="408">
      <c r="B408" s="72">
        <v>46142.7291666667</v>
      </c>
      <c r="C408" s="63" t="s">
        <v>26</v>
      </c>
      <c r="D408" s="63" t="s">
        <v>30</v>
      </c>
      <c r="E408" s="63" t="s">
        <v>44</v>
      </c>
      <c r="F408" s="63">
        <v>0</v>
      </c>
    </row>
    <row r="409">
      <c r="B409" s="72">
        <v>46142.7291666667</v>
      </c>
      <c r="C409" s="63" t="s">
        <v>26</v>
      </c>
      <c r="D409" s="63" t="s">
        <v>35</v>
      </c>
      <c r="E409" s="63" t="s">
        <v>44</v>
      </c>
      <c r="F409" s="63">
        <v>0</v>
      </c>
    </row>
    <row r="410">
      <c r="B410" s="72">
        <v>46142.7291666667</v>
      </c>
      <c r="C410" s="63" t="s">
        <v>26</v>
      </c>
      <c r="D410" s="63" t="s">
        <v>32</v>
      </c>
      <c r="E410" s="63" t="s">
        <v>44</v>
      </c>
      <c r="F410" s="63">
        <v>0</v>
      </c>
    </row>
    <row r="411">
      <c r="B411" s="72">
        <v>46142.7291666667</v>
      </c>
      <c r="C411" s="63" t="s">
        <v>27</v>
      </c>
      <c r="D411" s="63" t="s">
        <v>31</v>
      </c>
      <c r="E411" s="63" t="s">
        <v>44</v>
      </c>
      <c r="F411" s="63">
        <v>2</v>
      </c>
    </row>
    <row r="412">
      <c r="B412" s="72">
        <v>46142.7291666667</v>
      </c>
      <c r="C412" s="63" t="s">
        <v>27</v>
      </c>
      <c r="D412" s="63" t="s">
        <v>35</v>
      </c>
      <c r="E412" s="63" t="s">
        <v>44</v>
      </c>
      <c r="F412" s="63">
        <v>0</v>
      </c>
    </row>
    <row r="413">
      <c r="B413" s="72">
        <v>46142.7291666667</v>
      </c>
      <c r="C413" s="63" t="s">
        <v>27</v>
      </c>
      <c r="D413" s="63" t="s">
        <v>32</v>
      </c>
      <c r="E413" s="63" t="s">
        <v>44</v>
      </c>
      <c r="F413" s="63">
        <v>0</v>
      </c>
    </row>
    <row r="414">
      <c r="B414" s="72">
        <v>46142.7395833333</v>
      </c>
      <c r="C414" s="63" t="s">
        <v>25</v>
      </c>
      <c r="D414" s="63" t="s">
        <v>30</v>
      </c>
      <c r="E414" s="63" t="s">
        <v>38</v>
      </c>
      <c r="F414" s="63">
        <v>2</v>
      </c>
    </row>
    <row r="415">
      <c r="B415" s="72">
        <v>46142.7395833333</v>
      </c>
      <c r="C415" s="63" t="s">
        <v>25</v>
      </c>
      <c r="D415" s="63" t="s">
        <v>31</v>
      </c>
      <c r="E415" s="63" t="s">
        <v>38</v>
      </c>
      <c r="F415" s="63">
        <v>99</v>
      </c>
    </row>
    <row r="416">
      <c r="B416" s="72">
        <v>46142.7395833333</v>
      </c>
      <c r="C416" s="63" t="s">
        <v>25</v>
      </c>
      <c r="D416" s="63" t="s">
        <v>32</v>
      </c>
      <c r="E416" s="63" t="s">
        <v>38</v>
      </c>
      <c r="F416" s="63">
        <v>0</v>
      </c>
    </row>
    <row r="417">
      <c r="B417" s="72">
        <v>46142.7395833333</v>
      </c>
      <c r="C417" s="63" t="s">
        <v>26</v>
      </c>
      <c r="D417" s="63" t="s">
        <v>30</v>
      </c>
      <c r="E417" s="63" t="s">
        <v>38</v>
      </c>
      <c r="F417" s="63">
        <v>0</v>
      </c>
    </row>
    <row r="418">
      <c r="B418" s="72">
        <v>46142.7395833333</v>
      </c>
      <c r="C418" s="63" t="s">
        <v>26</v>
      </c>
      <c r="D418" s="63" t="s">
        <v>35</v>
      </c>
      <c r="E418" s="63" t="s">
        <v>38</v>
      </c>
      <c r="F418" s="63">
        <v>1</v>
      </c>
    </row>
    <row r="419">
      <c r="B419" s="72">
        <v>46142.7395833333</v>
      </c>
      <c r="C419" s="63" t="s">
        <v>26</v>
      </c>
      <c r="D419" s="63" t="s">
        <v>32</v>
      </c>
      <c r="E419" s="63" t="s">
        <v>38</v>
      </c>
      <c r="F419" s="63">
        <v>0</v>
      </c>
    </row>
    <row r="420">
      <c r="B420" s="72">
        <v>46142.7395833333</v>
      </c>
      <c r="C420" s="63" t="s">
        <v>27</v>
      </c>
      <c r="D420" s="63" t="s">
        <v>31</v>
      </c>
      <c r="E420" s="63" t="s">
        <v>38</v>
      </c>
      <c r="F420" s="63">
        <v>102</v>
      </c>
    </row>
    <row r="421">
      <c r="B421" s="72">
        <v>46142.7395833333</v>
      </c>
      <c r="C421" s="63" t="s">
        <v>27</v>
      </c>
      <c r="D421" s="63" t="s">
        <v>35</v>
      </c>
      <c r="E421" s="63" t="s">
        <v>38</v>
      </c>
      <c r="F421" s="63">
        <v>0</v>
      </c>
    </row>
    <row r="422">
      <c r="B422" s="72">
        <v>46142.7395833333</v>
      </c>
      <c r="C422" s="63" t="s">
        <v>27</v>
      </c>
      <c r="D422" s="63" t="s">
        <v>32</v>
      </c>
      <c r="E422" s="63" t="s">
        <v>38</v>
      </c>
      <c r="F422" s="63">
        <v>0</v>
      </c>
    </row>
    <row r="423">
      <c r="B423" s="72">
        <v>46142.7395833333</v>
      </c>
      <c r="C423" s="63" t="s">
        <v>25</v>
      </c>
      <c r="D423" s="63" t="s">
        <v>30</v>
      </c>
      <c r="E423" s="63" t="s">
        <v>42</v>
      </c>
      <c r="F423" s="63">
        <v>0</v>
      </c>
    </row>
    <row r="424">
      <c r="B424" s="72">
        <v>46142.7395833333</v>
      </c>
      <c r="C424" s="63" t="s">
        <v>25</v>
      </c>
      <c r="D424" s="63" t="s">
        <v>31</v>
      </c>
      <c r="E424" s="63" t="s">
        <v>42</v>
      </c>
      <c r="F424" s="63">
        <v>1</v>
      </c>
    </row>
    <row r="425">
      <c r="B425" s="72">
        <v>46142.7395833333</v>
      </c>
      <c r="C425" s="63" t="s">
        <v>25</v>
      </c>
      <c r="D425" s="63" t="s">
        <v>32</v>
      </c>
      <c r="E425" s="63" t="s">
        <v>42</v>
      </c>
      <c r="F425" s="63">
        <v>0</v>
      </c>
    </row>
    <row r="426">
      <c r="B426" s="72">
        <v>46142.7395833333</v>
      </c>
      <c r="C426" s="63" t="s">
        <v>26</v>
      </c>
      <c r="D426" s="63" t="s">
        <v>30</v>
      </c>
      <c r="E426" s="63" t="s">
        <v>42</v>
      </c>
      <c r="F426" s="63">
        <v>0</v>
      </c>
    </row>
    <row r="427">
      <c r="B427" s="72">
        <v>46142.7395833333</v>
      </c>
      <c r="C427" s="63" t="s">
        <v>26</v>
      </c>
      <c r="D427" s="63" t="s">
        <v>35</v>
      </c>
      <c r="E427" s="63" t="s">
        <v>42</v>
      </c>
      <c r="F427" s="63">
        <v>0</v>
      </c>
    </row>
    <row r="428">
      <c r="B428" s="72">
        <v>46142.7395833333</v>
      </c>
      <c r="C428" s="63" t="s">
        <v>26</v>
      </c>
      <c r="D428" s="63" t="s">
        <v>32</v>
      </c>
      <c r="E428" s="63" t="s">
        <v>42</v>
      </c>
      <c r="F428" s="63">
        <v>0</v>
      </c>
    </row>
    <row r="429">
      <c r="B429" s="72">
        <v>46142.7395833333</v>
      </c>
      <c r="C429" s="63" t="s">
        <v>27</v>
      </c>
      <c r="D429" s="63" t="s">
        <v>31</v>
      </c>
      <c r="E429" s="63" t="s">
        <v>42</v>
      </c>
      <c r="F429" s="63">
        <v>2</v>
      </c>
    </row>
    <row r="430">
      <c r="B430" s="72">
        <v>46142.7395833333</v>
      </c>
      <c r="C430" s="63" t="s">
        <v>27</v>
      </c>
      <c r="D430" s="63" t="s">
        <v>35</v>
      </c>
      <c r="E430" s="63" t="s">
        <v>42</v>
      </c>
      <c r="F430" s="63">
        <v>0</v>
      </c>
    </row>
    <row r="431">
      <c r="B431" s="72">
        <v>46142.7395833333</v>
      </c>
      <c r="C431" s="63" t="s">
        <v>27</v>
      </c>
      <c r="D431" s="63" t="s">
        <v>32</v>
      </c>
      <c r="E431" s="63" t="s">
        <v>42</v>
      </c>
      <c r="F431" s="63">
        <v>0</v>
      </c>
    </row>
    <row r="432">
      <c r="B432" s="72">
        <v>46142.7395833333</v>
      </c>
      <c r="C432" s="63" t="s">
        <v>25</v>
      </c>
      <c r="D432" s="63" t="s">
        <v>30</v>
      </c>
      <c r="E432" s="63" t="s">
        <v>44</v>
      </c>
      <c r="F432" s="63">
        <v>0</v>
      </c>
    </row>
    <row r="433">
      <c r="B433" s="72">
        <v>46142.7395833333</v>
      </c>
      <c r="C433" s="63" t="s">
        <v>25</v>
      </c>
      <c r="D433" s="63" t="s">
        <v>31</v>
      </c>
      <c r="E433" s="63" t="s">
        <v>44</v>
      </c>
      <c r="F433" s="63">
        <v>1</v>
      </c>
    </row>
    <row r="434">
      <c r="B434" s="72">
        <v>46142.7395833333</v>
      </c>
      <c r="C434" s="63" t="s">
        <v>25</v>
      </c>
      <c r="D434" s="63" t="s">
        <v>32</v>
      </c>
      <c r="E434" s="63" t="s">
        <v>44</v>
      </c>
      <c r="F434" s="63">
        <v>0</v>
      </c>
    </row>
    <row r="435">
      <c r="B435" s="72">
        <v>46142.7395833333</v>
      </c>
      <c r="C435" s="63" t="s">
        <v>26</v>
      </c>
      <c r="D435" s="63" t="s">
        <v>30</v>
      </c>
      <c r="E435" s="63" t="s">
        <v>44</v>
      </c>
      <c r="F435" s="63">
        <v>0</v>
      </c>
    </row>
    <row r="436">
      <c r="B436" s="72">
        <v>46142.7395833333</v>
      </c>
      <c r="C436" s="63" t="s">
        <v>26</v>
      </c>
      <c r="D436" s="63" t="s">
        <v>35</v>
      </c>
      <c r="E436" s="63" t="s">
        <v>44</v>
      </c>
      <c r="F436" s="63">
        <v>0</v>
      </c>
    </row>
    <row r="437">
      <c r="B437" s="72">
        <v>46142.7395833333</v>
      </c>
      <c r="C437" s="63" t="s">
        <v>26</v>
      </c>
      <c r="D437" s="63" t="s">
        <v>32</v>
      </c>
      <c r="E437" s="63" t="s">
        <v>44</v>
      </c>
      <c r="F437" s="63">
        <v>0</v>
      </c>
    </row>
    <row r="438">
      <c r="B438" s="72">
        <v>46142.7395833333</v>
      </c>
      <c r="C438" s="63" t="s">
        <v>27</v>
      </c>
      <c r="D438" s="63" t="s">
        <v>31</v>
      </c>
      <c r="E438" s="63" t="s">
        <v>44</v>
      </c>
      <c r="F438" s="63">
        <v>2</v>
      </c>
    </row>
    <row r="439">
      <c r="B439" s="72">
        <v>46142.7395833333</v>
      </c>
      <c r="C439" s="63" t="s">
        <v>27</v>
      </c>
      <c r="D439" s="63" t="s">
        <v>35</v>
      </c>
      <c r="E439" s="63" t="s">
        <v>44</v>
      </c>
      <c r="F439" s="63">
        <v>0</v>
      </c>
    </row>
    <row r="440">
      <c r="B440" s="72">
        <v>46142.7395833333</v>
      </c>
      <c r="C440" s="63" t="s">
        <v>27</v>
      </c>
      <c r="D440" s="63" t="s">
        <v>32</v>
      </c>
      <c r="E440" s="63" t="s">
        <v>44</v>
      </c>
      <c r="F440" s="63">
        <v>0</v>
      </c>
    </row>
  </sheetData>
  <autoFilter ref="B8:F8"/>
  <mergeCells>
    <mergeCell ref="B1"/>
    <mergeCell ref="C1:F1"/>
    <mergeCell ref="B2"/>
    <mergeCell ref="C2:F2"/>
    <mergeCell ref="B3"/>
    <mergeCell ref="C3:F3"/>
    <mergeCell ref="B4"/>
    <mergeCell ref="C4:F4"/>
    <mergeCell ref="B6:F6"/>
  </mergeCells>
  <headerFooter/>
</worksheet>
</file>

<file path=xl/worksheets/sheet52.xml><?xml version="1.0" encoding="utf-8"?>
<worksheet xmlns:r="http://schemas.openxmlformats.org/officeDocument/2006/relationships" xmlns="http://schemas.openxmlformats.org/spreadsheetml/2006/main">
  <dimension ref="A1:O7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10" customWidth="1"/>
    <col min="2" max="2" width="18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</cols>
  <sheetData>
    <row r="1" s="49" customFormat="1">
      <c r="B1" s="50" t="s">
        <v>0</v>
      </c>
      <c r="C1" s="49" t="s">
        <v>1</v>
      </c>
      <c r="D1" s="49" t="s">
        <v>1</v>
      </c>
      <c r="E1" s="49" t="s">
        <v>1</v>
      </c>
      <c r="F1" s="49" t="s">
        <v>1</v>
      </c>
      <c r="G1" s="49" t="s">
        <v>1</v>
      </c>
      <c r="H1" s="49" t="s">
        <v>1</v>
      </c>
      <c r="I1" s="49" t="s">
        <v>1</v>
      </c>
      <c r="J1" s="49" t="s">
        <v>1</v>
      </c>
      <c r="K1" s="49" t="s">
        <v>1</v>
      </c>
      <c r="L1" s="49" t="s">
        <v>1</v>
      </c>
      <c r="M1" s="49" t="s">
        <v>1</v>
      </c>
      <c r="N1" s="49" t="s">
        <v>1</v>
      </c>
      <c r="O1" s="49" t="s">
        <v>1</v>
      </c>
    </row>
    <row r="2" s="49" customFormat="1">
      <c r="B2" s="50" t="s">
        <v>2</v>
      </c>
      <c r="C2" s="49" t="s">
        <v>3</v>
      </c>
      <c r="D2" s="49" t="s">
        <v>3</v>
      </c>
      <c r="E2" s="49" t="s">
        <v>3</v>
      </c>
      <c r="F2" s="49" t="s">
        <v>3</v>
      </c>
      <c r="G2" s="49" t="s">
        <v>3</v>
      </c>
      <c r="H2" s="49" t="s">
        <v>3</v>
      </c>
      <c r="I2" s="49" t="s">
        <v>3</v>
      </c>
      <c r="J2" s="49" t="s">
        <v>3</v>
      </c>
      <c r="K2" s="49" t="s">
        <v>3</v>
      </c>
      <c r="L2" s="49" t="s">
        <v>3</v>
      </c>
      <c r="M2" s="49" t="s">
        <v>3</v>
      </c>
      <c r="N2" s="49" t="s">
        <v>3</v>
      </c>
      <c r="O2" s="49" t="s">
        <v>3</v>
      </c>
    </row>
    <row r="3" s="49" customFormat="1">
      <c r="B3" s="50" t="s">
        <v>4</v>
      </c>
      <c r="C3" s="49" t="s">
        <v>5</v>
      </c>
      <c r="D3" s="49" t="s">
        <v>5</v>
      </c>
      <c r="E3" s="49" t="s">
        <v>5</v>
      </c>
      <c r="F3" s="49" t="s">
        <v>5</v>
      </c>
      <c r="G3" s="49" t="s">
        <v>5</v>
      </c>
      <c r="H3" s="49" t="s">
        <v>5</v>
      </c>
      <c r="I3" s="49" t="s">
        <v>5</v>
      </c>
      <c r="J3" s="49" t="s">
        <v>5</v>
      </c>
      <c r="K3" s="49" t="s">
        <v>5</v>
      </c>
      <c r="L3" s="49" t="s">
        <v>5</v>
      </c>
      <c r="M3" s="49" t="s">
        <v>5</v>
      </c>
      <c r="N3" s="49" t="s">
        <v>5</v>
      </c>
      <c r="O3" s="49" t="s">
        <v>5</v>
      </c>
    </row>
    <row r="4" s="49" customFormat="1">
      <c r="B4" s="50" t="s">
        <v>6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</row>
    <row r="6">
      <c r="B6" s="28" t="s">
        <v>55</v>
      </c>
      <c r="C6" s="28" t="s">
        <v>55</v>
      </c>
      <c r="D6" s="28" t="s">
        <v>55</v>
      </c>
      <c r="E6" s="28" t="s">
        <v>55</v>
      </c>
      <c r="F6" s="28" t="s">
        <v>55</v>
      </c>
      <c r="G6" s="28" t="s">
        <v>55</v>
      </c>
      <c r="H6" s="28" t="s">
        <v>55</v>
      </c>
      <c r="I6" s="28" t="s">
        <v>55</v>
      </c>
      <c r="J6" s="28" t="s">
        <v>55</v>
      </c>
      <c r="K6" s="28" t="s">
        <v>55</v>
      </c>
      <c r="L6" s="28" t="s">
        <v>55</v>
      </c>
      <c r="M6" s="28" t="s">
        <v>55</v>
      </c>
      <c r="N6" s="28" t="s">
        <v>55</v>
      </c>
      <c r="O6" s="28" t="s">
        <v>55</v>
      </c>
    </row>
    <row r="7">
      <c r="B7" s="73">
        <f>=IF(B8 &lt;&gt; "", "", "Warning: If the following pivot table does not load, please remove [square brackets] from the filename. ex. Report[1].xlsx --&gt; Report.xlsx")</f>
      </c>
    </row>
  </sheetData>
  <mergeCells>
    <mergeCell ref="B1"/>
    <mergeCell ref="C1:O1"/>
    <mergeCell ref="B2"/>
    <mergeCell ref="C2:O2"/>
    <mergeCell ref="B3"/>
    <mergeCell ref="C3:O3"/>
    <mergeCell ref="B4"/>
    <mergeCell ref="C4:O4"/>
    <mergeCell ref="B6:O6"/>
  </mergeCells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aaa</vt:lpstr>
      <vt:lpstr>bbb</vt:lpstr>
      <vt:lpstr>ccc</vt:lpstr>
      <vt:lpstr>eee</vt:lpstr>
      <vt:lpstr>fff</vt:lpstr>
      <vt:lpstr>aaa!Print_Area</vt:lpstr>
      <vt:lpstr>bbb!Print_Area</vt:lpstr>
      <vt:lpstr>ccc!Print_Area</vt:lpstr>
      <vt:lpstr>eee!Print_Area</vt:lpstr>
      <vt:lpstr>fff!Print_Area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Miovision Technologies</dc:creator>
  <cp:lastModifiedBy>clandry</cp:lastModifiedBy>
  <cp:lastPrinted>2012-02-02T18:11:34Z</cp:lastPrinted>
  <dcterms:created xsi:type="dcterms:W3CDTF">2011-01-12T22:45:16Z</dcterms:created>
  <dcterms:modified xsi:type="dcterms:W3CDTF">2013-01-16T16:50:10Z</dcterms:modified>
  <dc:title>405051_0029_20260430_000003 FM51-CORD4699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Created">
    <vt:lpwstr>06/29/2026</vt:lpwstr>
  </property>
  <property fmtid="{D5CDD505-2E9C-101B-9397-08002B2CF9AE}" pid="3" name="LastSaved">
    <vt:lpwstr>06/29/2026</vt:lpwstr>
  </property>
</Properties>
</file>